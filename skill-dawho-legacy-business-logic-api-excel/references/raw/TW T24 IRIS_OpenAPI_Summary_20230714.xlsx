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filterPrivacy="1"/>
  <xr:revisionPtr revIDLastSave="0" documentId="13_ncr:1_{9DA31B87-6618-4EFC-8434-C2F3D9F10489}" xr6:coauthVersionLast="47" xr6:coauthVersionMax="47" xr10:uidLastSave="{00000000-0000-0000-0000-000000000000}"/>
  <bookViews>
    <workbookView xWindow="-120" yWindow="-120" windowWidth="29040" windowHeight="15840" tabRatio="596" activeTab="1" xr2:uid="{00000000-000D-0000-FFFF-FFFF00000000}"/>
  </bookViews>
  <sheets>
    <sheet name="Progress" sheetId="12" r:id="rId1"/>
    <sheet name="IRIS" sheetId="11" r:id="rId2"/>
  </sheets>
  <definedNames>
    <definedName name="_xlnm._FilterDatabase" localSheetId="1" hidden="1">IRIS!$B$2:$M$77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11" l="1"/>
  <c r="F75" i="11"/>
  <c r="D75" i="11"/>
  <c r="F58" i="11"/>
  <c r="D58" i="11"/>
  <c r="F57" i="11"/>
  <c r="D57" i="11"/>
  <c r="F56" i="11"/>
  <c r="D56" i="11"/>
  <c r="F25" i="11"/>
  <c r="D25" i="11"/>
  <c r="F24" i="11"/>
  <c r="D24" i="11"/>
  <c r="F65" i="11"/>
  <c r="D65" i="11"/>
  <c r="F64" i="11"/>
  <c r="D64" i="11"/>
  <c r="E22" i="12"/>
  <c r="D32" i="11" l="1"/>
  <c r="F32" i="11"/>
  <c r="D33" i="11"/>
  <c r="F33" i="11"/>
  <c r="D34" i="11"/>
  <c r="F34" i="11"/>
  <c r="D35" i="11"/>
  <c r="F35" i="11"/>
  <c r="D36" i="11"/>
  <c r="F36" i="11"/>
  <c r="D37" i="11"/>
  <c r="F37" i="11"/>
  <c r="D38" i="11"/>
  <c r="F38" i="11"/>
  <c r="D39" i="11"/>
  <c r="F39" i="11"/>
  <c r="D40" i="11"/>
  <c r="F40" i="11"/>
  <c r="D41" i="11"/>
  <c r="F41" i="11"/>
  <c r="D42" i="11"/>
  <c r="F42" i="11"/>
  <c r="D43" i="11"/>
  <c r="F43" i="11"/>
  <c r="D44" i="11"/>
  <c r="F44" i="11"/>
  <c r="D45" i="11"/>
  <c r="F45" i="11"/>
  <c r="D46" i="11"/>
  <c r="F46" i="11"/>
  <c r="F74" i="11"/>
  <c r="D74" i="11"/>
  <c r="F73" i="11"/>
  <c r="D73" i="11"/>
  <c r="F72" i="11"/>
  <c r="D72" i="11"/>
  <c r="F71" i="11"/>
  <c r="D71" i="11"/>
  <c r="F70" i="11"/>
  <c r="D70" i="11"/>
  <c r="F69" i="11"/>
  <c r="D69" i="11"/>
  <c r="F68" i="11"/>
  <c r="D68" i="11"/>
  <c r="F67" i="11"/>
  <c r="D67" i="11"/>
  <c r="F63" i="11"/>
  <c r="D63" i="11"/>
  <c r="F62" i="11"/>
  <c r="D62" i="11"/>
  <c r="F61" i="11"/>
  <c r="D61" i="11"/>
  <c r="F60" i="11"/>
  <c r="D60" i="11"/>
  <c r="F59" i="11"/>
  <c r="D59" i="11"/>
  <c r="F55" i="11"/>
  <c r="D55" i="11"/>
  <c r="F54" i="11"/>
  <c r="D54" i="11"/>
  <c r="F53" i="11"/>
  <c r="D53" i="11"/>
  <c r="F52" i="11"/>
  <c r="D52" i="11"/>
  <c r="F51" i="11"/>
  <c r="D51" i="11"/>
  <c r="F50" i="11"/>
  <c r="D50" i="11"/>
  <c r="F49" i="11"/>
  <c r="D49" i="11"/>
  <c r="F31" i="11"/>
  <c r="D31" i="11"/>
  <c r="F30" i="11"/>
  <c r="D30" i="11"/>
  <c r="F29" i="11"/>
  <c r="D29" i="11"/>
  <c r="F28" i="11"/>
  <c r="D28" i="11"/>
  <c r="F26" i="11"/>
  <c r="D26" i="11"/>
  <c r="F23" i="11"/>
  <c r="D23" i="11"/>
  <c r="F22" i="11"/>
  <c r="D22" i="11"/>
</calcChain>
</file>

<file path=xl/sharedStrings.xml><?xml version="1.0" encoding="utf-8"?>
<sst xmlns="http://schemas.openxmlformats.org/spreadsheetml/2006/main" count="472" uniqueCount="381">
  <si>
    <t>IC0001</t>
    <phoneticPr fontId="1" type="noConversion"/>
  </si>
  <si>
    <t>APPLICATION</t>
    <phoneticPr fontId="1" type="noConversion"/>
  </si>
  <si>
    <t>KEY</t>
    <phoneticPr fontId="1" type="noConversion"/>
  </si>
  <si>
    <t>URL</t>
    <phoneticPr fontId="1" type="noConversion"/>
  </si>
  <si>
    <t>ED0001</t>
  </si>
  <si>
    <t>ED0002</t>
  </si>
  <si>
    <t>ED0003</t>
  </si>
  <si>
    <t>ED0005</t>
  </si>
  <si>
    <t>ED0006</t>
  </si>
  <si>
    <t>ED0007</t>
  </si>
  <si>
    <t>ED0008</t>
  </si>
  <si>
    <t>ED0009</t>
  </si>
  <si>
    <t>ED0010</t>
  </si>
  <si>
    <t>ED0011</t>
  </si>
  <si>
    <t>ED0013</t>
  </si>
  <si>
    <t>ED0014</t>
  </si>
  <si>
    <t>ED0015</t>
  </si>
  <si>
    <t>TMB.AC.ENQ.ACCLOSE</t>
  </si>
  <si>
    <t>TMB.ENQ.ACCT.SEC.UPD</t>
  </si>
  <si>
    <t>TMB.EXCH.AMT.ENQ</t>
  </si>
  <si>
    <t>TMB.FWD.TXN.REG.ENQ</t>
  </si>
  <si>
    <t>TMB.INFO.AC.CR.ENQ</t>
  </si>
  <si>
    <t>TMB.IPIG.HTR.ENQ</t>
  </si>
  <si>
    <t>TMB.IPIG.MAIN.SET.ENQ</t>
  </si>
  <si>
    <t>TMB.PHONE.AC.MAP.ENQ</t>
  </si>
  <si>
    <t>TMB.STMT.AC.CR.ENQ</t>
  </si>
  <si>
    <t>TMB.TD.OPEN.SIMULATE.ENQ</t>
  </si>
  <si>
    <t>TMB.VR.AC.MAP.ENQ</t>
  </si>
  <si>
    <t>TMBI.B0100.TD.DTL.ENQ</t>
  </si>
  <si>
    <t>TMBI.B0400.TD.CLO.CAL.ENQ</t>
  </si>
  <si>
    <t>TMBI.INW.CHQ.INSUFF.BAL.ENQ</t>
  </si>
  <si>
    <t>TMBI.S0230.VR.TXN.DATE.ENQ</t>
  </si>
  <si>
    <t>EL0001</t>
  </si>
  <si>
    <t>EL0002</t>
  </si>
  <si>
    <t>EL0003</t>
  </si>
  <si>
    <t>EL0004</t>
  </si>
  <si>
    <t>EL0006</t>
  </si>
  <si>
    <t>EL0007</t>
  </si>
  <si>
    <t>TMB.LN.FLEX.DATA.DETAIL</t>
  </si>
  <si>
    <t>TMB.LN.LD.DRWN.DETAIL</t>
  </si>
  <si>
    <t>TMB.LN.LD.MOVEMENT.DETAIL</t>
  </si>
  <si>
    <t>TMB.LN.LD.REPAY.DETAIL</t>
  </si>
  <si>
    <t>TMB.LN.LD.TOTAL.DETAIL</t>
  </si>
  <si>
    <t>TMB.OD.ACCT.STATUS</t>
  </si>
  <si>
    <t>TMBI.OD.CLS.DTL.ENQ</t>
  </si>
  <si>
    <t>EF0001</t>
  </si>
  <si>
    <t>EF0002</t>
  </si>
  <si>
    <t>EF0003</t>
  </si>
  <si>
    <t>EF0004</t>
  </si>
  <si>
    <t>EF0005</t>
  </si>
  <si>
    <t>TMB.CASH.ORDER.DETAILS.ENQ</t>
  </si>
  <si>
    <t>TMB.FT.CUST.ASSUM.ENQ</t>
  </si>
  <si>
    <t>TMB.FX.TXN.DETAILS</t>
  </si>
  <si>
    <t>TMB.FXLMT.ENQ</t>
  </si>
  <si>
    <t>TMBI.CUST.BL.ENQ</t>
  </si>
  <si>
    <t>EC0002</t>
  </si>
  <si>
    <t>EC0003</t>
  </si>
  <si>
    <t>EC0004</t>
  </si>
  <si>
    <t>EC0005</t>
  </si>
  <si>
    <t>EC0006</t>
  </si>
  <si>
    <t>EC0007</t>
  </si>
  <si>
    <t>EC0008</t>
  </si>
  <si>
    <t>TMB.AC.BAL.DTL.LIST.ENQ</t>
  </si>
  <si>
    <t>TMB.AC.MST.DTL.ENQ</t>
  </si>
  <si>
    <t>TMB.ACCOUNT.PROJECT.ENQ</t>
  </si>
  <si>
    <t>TMB.CUST.EMAIL.ENQ</t>
  </si>
  <si>
    <t>TMB.STMT.ENT.BOOK.ENQ</t>
  </si>
  <si>
    <t>TMBI.CRG.WAV.TOT.ENQ</t>
  </si>
  <si>
    <t>TMBI.F0130.INT.RATE.ENQ</t>
  </si>
  <si>
    <t>TMBI.G0041.REG.ACCT.ENQ</t>
  </si>
  <si>
    <t>ACCOUNT,TMB.AC.MODIF</t>
  </si>
  <si>
    <t>ACCOUNT,TMB.SEE</t>
  </si>
  <si>
    <t>ACCOUNT.CLOSURE,TMB.TXN.INP</t>
  </si>
  <si>
    <t>AZ.ACCOUNT,TMBI.B4100.TXN.INP</t>
  </si>
  <si>
    <t>AZ.ACCOUNT,TMBI.H5000.MAT.INS.INP</t>
  </si>
  <si>
    <t>FUNDS.TRANSFER,TMBI.CM.TXN.INP</t>
  </si>
  <si>
    <t>TMB.AIO.ACCT,</t>
  </si>
  <si>
    <t>TMB.AIO.ACCT,MAINTAIN.AIO</t>
  </si>
  <si>
    <t>TMB.AIO.MAIN.ACCT,TMB.ACCLOSE</t>
  </si>
  <si>
    <t>TMB.AIO.MAIN.ACCT,TMB.ADD.CCY</t>
  </si>
  <si>
    <t>TMB.AIO.MAIN.ACCT,TMB.AMD</t>
  </si>
  <si>
    <t>TMB.EVT.REGISTER,TMBI.H6000.EVT.INP</t>
  </si>
  <si>
    <t>TMB.FWD.TXN.REGISTER,TMBI.P1200.TXN.INP</t>
  </si>
  <si>
    <t>TMB.IPIG.MAIN.SET,TMB.INP</t>
  </si>
  <si>
    <t>TMBI.PSB.FUNC.REGISTER,TMBI.INP</t>
  </si>
  <si>
    <t>TMBI.TD.CRT.TXN.DTL,TMBI.B3300.TXN.INP</t>
  </si>
  <si>
    <t>CUSTOMER</t>
  </si>
  <si>
    <t>ACCOUNT</t>
  </si>
  <si>
    <t>AZ.ACCOUNT</t>
  </si>
  <si>
    <t>FUNDS.TRANSFER</t>
  </si>
  <si>
    <t>TMB.AIO.ACCT</t>
  </si>
  <si>
    <t>TMB.AIO.MAIN.ACCT</t>
  </si>
  <si>
    <t>TMB.EVT.REGISTER</t>
  </si>
  <si>
    <t>TMB.FWD.TXN.REGISTER</t>
  </si>
  <si>
    <t>TMB.IPIG.MAIN.SET</t>
  </si>
  <si>
    <t>TMBI.PSB.FUNC.REGISTER</t>
  </si>
  <si>
    <t>TMBI.TD.CRT.TXN.DTL</t>
  </si>
  <si>
    <t>ID0001</t>
  </si>
  <si>
    <t>ID0002</t>
  </si>
  <si>
    <t>ID0003</t>
  </si>
  <si>
    <t>ID0004</t>
  </si>
  <si>
    <t>ID0005</t>
  </si>
  <si>
    <t>ID0006</t>
  </si>
  <si>
    <t>ID0007</t>
  </si>
  <si>
    <t>ID0008</t>
  </si>
  <si>
    <t>ID0009</t>
  </si>
  <si>
    <t>ID0010</t>
  </si>
  <si>
    <t>ID0011</t>
  </si>
  <si>
    <t>ID0012</t>
  </si>
  <si>
    <t>ID0013</t>
  </si>
  <si>
    <t>ID0014</t>
  </si>
  <si>
    <t>ID0015</t>
  </si>
  <si>
    <t>TMB.LN.PROJECT.DATA,TMB.INP</t>
  </si>
  <si>
    <t>IL0001</t>
    <phoneticPr fontId="1" type="noConversion"/>
  </si>
  <si>
    <t>IL0002</t>
    <phoneticPr fontId="1" type="noConversion"/>
  </si>
  <si>
    <t>TMB.LN.EVENTS,TMB.INP</t>
    <phoneticPr fontId="1" type="noConversion"/>
  </si>
  <si>
    <t>TMB.LN.PROJECT.DATA</t>
    <phoneticPr fontId="1" type="noConversion"/>
  </si>
  <si>
    <t>TMB.LN.EVENTS</t>
    <phoneticPr fontId="1" type="noConversion"/>
  </si>
  <si>
    <t>IF0001</t>
    <phoneticPr fontId="1" type="noConversion"/>
  </si>
  <si>
    <t>TMB.OF.CS.COMM.AMT</t>
    <phoneticPr fontId="1" type="noConversion"/>
  </si>
  <si>
    <t>TMB.OF.CS.ORDER.BRANCH</t>
    <phoneticPr fontId="1" type="noConversion"/>
  </si>
  <si>
    <t>FUNDS.TRANSFER,TMBI.ORDER.CASH.SELL</t>
    <phoneticPr fontId="1" type="noConversion"/>
  </si>
  <si>
    <t>CUSTOMER,</t>
  </si>
  <si>
    <t>CUSTOMER,TMBI.AMEND</t>
  </si>
  <si>
    <t>TMB.CUS.FOREIGN.TAX,TMB.AMEND</t>
  </si>
  <si>
    <t>TMB.TXN.ACCT.CRG.CONF,TMB.INP</t>
  </si>
  <si>
    <t>IC0003</t>
  </si>
  <si>
    <t>TMB.CUS.FOREIGN.TAX</t>
    <phoneticPr fontId="1" type="noConversion"/>
  </si>
  <si>
    <t>TMB.TXN.ACCT.CRG.CONF</t>
    <phoneticPr fontId="1" type="noConversion"/>
  </si>
  <si>
    <t>帳戶主檔變更</t>
  </si>
  <si>
    <t>帳戶主檔查詢  </t>
  </si>
  <si>
    <t>線上銷戶</t>
  </si>
  <si>
    <t>存單續存</t>
  </si>
  <si>
    <t>轉帳交易</t>
  </si>
  <si>
    <t>撲滿</t>
  </si>
  <si>
    <t>定存開單(存款)</t>
  </si>
  <si>
    <t>API Desc</t>
    <phoneticPr fontId="1" type="noConversion"/>
  </si>
  <si>
    <t>Channel</t>
    <phoneticPr fontId="1" type="noConversion"/>
  </si>
  <si>
    <t>Applicant</t>
    <phoneticPr fontId="1" type="noConversion"/>
  </si>
  <si>
    <t>No</t>
    <phoneticPr fontId="1" type="noConversion"/>
  </si>
  <si>
    <t>預約外幣現鈔</t>
  </si>
  <si>
    <t>客戶基本資料異動</t>
  </si>
  <si>
    <t>約定轉帳和手續費相關</t>
  </si>
  <si>
    <t>/api/v1.0.0/party/ID0001</t>
  </si>
  <si>
    <t>ACCOUNT,EB.API.ID0001.1.0.0</t>
  </si>
  <si>
    <t>/api/v1.0.0/party/ID0002</t>
  </si>
  <si>
    <t>ACCOUNT,EB.API.ID0002.1.0.0</t>
  </si>
  <si>
    <t>/api/v1.0.0/party/ID0003</t>
  </si>
  <si>
    <t>ACCOUNT,EB.API.ID0003.1.0.0</t>
  </si>
  <si>
    <t>/api/v1.0.0/party/ID0004</t>
  </si>
  <si>
    <t>AZ.ACCOUNT,EB.API.ID0004.1.0.0</t>
  </si>
  <si>
    <t>/api/v1.0.0/party/ID0005</t>
  </si>
  <si>
    <t>AZ.ACCOUNT,EB.API.ID0005.1.0.0</t>
  </si>
  <si>
    <t>/api/v1.0.0/party/ID0006</t>
  </si>
  <si>
    <t>FUNDS.TRANSFER,EB.API.ID0006.1.0.0</t>
  </si>
  <si>
    <t>/api/v1.0.0/party/ID0007</t>
  </si>
  <si>
    <t>TMBI.TD.CRT.TXN.DTL,EB.API.ID0007.1.0.0</t>
  </si>
  <si>
    <t>/api/v1.0.0/party/ID0008</t>
  </si>
  <si>
    <t>TMB.AIO.ACCT,EB.API.ID0008.1.0.0</t>
  </si>
  <si>
    <t>活轉定約定</t>
  </si>
  <si>
    <t>/api/v1.0.0/party/ID0009</t>
  </si>
  <si>
    <t>TMB.AIO.MAIN.ACCT,EB.API.ID0009.1.0.0</t>
  </si>
  <si>
    <t>/api/v1.0.0/party/ID0010</t>
  </si>
  <si>
    <t>TMB.AIO.MAIN.ACCT,EB.API.ID0010.1.0.0</t>
  </si>
  <si>
    <t>新增外幣子帳戶</t>
  </si>
  <si>
    <t>/api/v1.0.0/party/ID0011</t>
  </si>
  <si>
    <t>TMB.AIO.MAIN.ACCT,EB.API.ID0011.1.0.0</t>
  </si>
  <si>
    <t>外幣帳戶主檔變更</t>
  </si>
  <si>
    <t>/api/v1.0.0/party/ID0012</t>
  </si>
  <si>
    <t>TMB.EVT.REGISTER,EB.API.ID0012.1.0.0</t>
  </si>
  <si>
    <t>H5013打破撲滿,要不要歸類為ID(存款)</t>
  </si>
  <si>
    <t>/api/v1.0.0/party/ID0013</t>
  </si>
  <si>
    <t>TMB.FWD.TXN.REGISTER,EB.API.ID0013.1.0.0</t>
  </si>
  <si>
    <t>/api/v1.0.0/party/ID0014</t>
  </si>
  <si>
    <t>TMB.IPIG.MAIN.SET,EB.API.ID0014.1.0.0</t>
  </si>
  <si>
    <t>/api/v1.0.0/party/ID0015</t>
  </si>
  <si>
    <t>TMBI.PSB.FUNC.REGISTER,EB.API.ID0015.1.0.0</t>
  </si>
  <si>
    <t>API English Desc</t>
    <phoneticPr fontId="1" type="noConversion"/>
  </si>
  <si>
    <t>Account Change</t>
    <phoneticPr fontId="1" type="noConversion"/>
  </si>
  <si>
    <t>Account Enquiry</t>
    <phoneticPr fontId="1" type="noConversion"/>
  </si>
  <si>
    <t>Account Closure</t>
    <phoneticPr fontId="1" type="noConversion"/>
  </si>
  <si>
    <t>定存中途解約</t>
    <phoneticPr fontId="1" type="noConversion"/>
  </si>
  <si>
    <t>Premature Time Deposit Termination</t>
    <phoneticPr fontId="1" type="noConversion"/>
  </si>
  <si>
    <t>Time Deposit Recurring on maturity</t>
    <phoneticPr fontId="1" type="noConversion"/>
  </si>
  <si>
    <t>Funds Transfer</t>
    <phoneticPr fontId="1" type="noConversion"/>
  </si>
  <si>
    <t>Time Deposit Opening</t>
    <phoneticPr fontId="1" type="noConversion"/>
  </si>
  <si>
    <t>Savings to Time Deposit Setting</t>
    <phoneticPr fontId="1" type="noConversion"/>
  </si>
  <si>
    <t>Foreign Ccy Account Termination</t>
    <phoneticPr fontId="1" type="noConversion"/>
  </si>
  <si>
    <t>Add Foreign Ccy Sub-Account</t>
    <phoneticPr fontId="1" type="noConversion"/>
  </si>
  <si>
    <t>Foreign Ccy Main Account Change</t>
    <phoneticPr fontId="1" type="noConversion"/>
  </si>
  <si>
    <t>Advanced Collection on Deposit A/C</t>
    <phoneticPr fontId="1" type="noConversion"/>
  </si>
  <si>
    <t>Passbook Cover Printing</t>
    <phoneticPr fontId="1" type="noConversion"/>
  </si>
  <si>
    <t>Loan Event Register</t>
    <phoneticPr fontId="1" type="noConversion"/>
  </si>
  <si>
    <t>Fee Charge on Foreign Cash Withdrawal Reservation</t>
    <phoneticPr fontId="1" type="noConversion"/>
  </si>
  <si>
    <t>Customer Enquiry</t>
    <phoneticPr fontId="1" type="noConversion"/>
  </si>
  <si>
    <t>FATCA &amp; CRS</t>
    <phoneticPr fontId="1" type="noConversion"/>
  </si>
  <si>
    <t>Funds Transfer Reservation Fee Charge</t>
    <phoneticPr fontId="1" type="noConversion"/>
  </si>
  <si>
    <t>A/C Closure Enquiry</t>
    <phoneticPr fontId="1" type="noConversion"/>
  </si>
  <si>
    <t>Securities Broker ID Apply</t>
    <phoneticPr fontId="1" type="noConversion"/>
  </si>
  <si>
    <t>FX Transfer to Time Deposit Promotion Project</t>
    <phoneticPr fontId="1" type="noConversion"/>
  </si>
  <si>
    <t>Interest Payable Enquiry</t>
    <phoneticPr fontId="1" type="noConversion"/>
  </si>
  <si>
    <t>彈性繳款明細查詢</t>
  </si>
  <si>
    <t>當日放款往來明細查詢</t>
  </si>
  <si>
    <r>
      <rPr>
        <sz val="11"/>
        <color theme="1"/>
        <rFont val="微軟正黑體"/>
        <family val="2"/>
        <charset val="136"/>
      </rPr>
      <t>私房錢綁定帳號查詢</t>
    </r>
  </si>
  <si>
    <t>透支額度使用金額查詢</t>
  </si>
  <si>
    <r>
      <rPr>
        <sz val="11"/>
        <color theme="1"/>
        <rFont val="微軟正黑體"/>
        <family val="2"/>
        <charset val="136"/>
      </rPr>
      <t>預約外幣現鈔查詢</t>
    </r>
  </si>
  <si>
    <r>
      <rPr>
        <sz val="11"/>
        <color theme="1"/>
        <rFont val="微軟正黑體"/>
        <family val="2"/>
        <charset val="136"/>
      </rPr>
      <t>匯出匯款客戶檔明細查詢</t>
    </r>
  </si>
  <si>
    <r>
      <rPr>
        <sz val="11"/>
        <color theme="1"/>
        <rFont val="微軟正黑體"/>
        <family val="2"/>
        <charset val="136"/>
      </rPr>
      <t>兌換敲價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議價</t>
    </r>
    <r>
      <rPr>
        <sz val="11"/>
        <color theme="1"/>
        <rFont val="Calibri"/>
        <family val="2"/>
      </rPr>
      <t>)</t>
    </r>
    <r>
      <rPr>
        <sz val="11"/>
        <color theme="1"/>
        <rFont val="微軟正黑體"/>
        <family val="2"/>
        <charset val="136"/>
      </rPr>
      <t>單查詢</t>
    </r>
  </si>
  <si>
    <r>
      <rPr>
        <sz val="11"/>
        <color theme="1"/>
        <rFont val="微軟正黑體"/>
        <family val="2"/>
        <charset val="136"/>
      </rPr>
      <t>當日新台幣兌換累計達</t>
    </r>
    <r>
      <rPr>
        <sz val="11"/>
        <color theme="1"/>
        <rFont val="Calibri"/>
        <family val="2"/>
      </rPr>
      <t>TWD50</t>
    </r>
    <r>
      <rPr>
        <sz val="11"/>
        <color theme="1"/>
        <rFont val="微軟正黑體"/>
        <family val="2"/>
        <charset val="136"/>
      </rPr>
      <t>萬以上資料查詢</t>
    </r>
  </si>
  <si>
    <r>
      <rPr>
        <sz val="11"/>
        <color theme="1"/>
        <rFont val="微軟正黑體"/>
        <family val="2"/>
        <charset val="136"/>
      </rPr>
      <t>光票</t>
    </r>
  </si>
  <si>
    <t>VERSION/ENQUIRY</t>
    <phoneticPr fontId="1" type="noConversion"/>
  </si>
  <si>
    <t>Original VERSION/ENQUIRY</t>
    <phoneticPr fontId="1" type="noConversion"/>
  </si>
  <si>
    <t>Flexible Loan Repayment Application</t>
    <phoneticPr fontId="1" type="noConversion"/>
  </si>
  <si>
    <t>撲滿往來明細查詢</t>
    <phoneticPr fontId="1" type="noConversion"/>
  </si>
  <si>
    <t>Mobile Transfer Enquiry</t>
    <phoneticPr fontId="1" type="noConversion"/>
  </si>
  <si>
    <t>Interest Payed Enquiry</t>
    <phoneticPr fontId="1" type="noConversion"/>
  </si>
  <si>
    <t>Time Deposit Open Interest Rate Enquiry</t>
    <phoneticPr fontId="1" type="noConversion"/>
  </si>
  <si>
    <t>Virtual Account Enquiry</t>
    <phoneticPr fontId="1" type="noConversion"/>
  </si>
  <si>
    <t>Time Deposit By ID Enquiry</t>
    <phoneticPr fontId="1" type="noConversion"/>
  </si>
  <si>
    <t>Premature Time Deposit Termination Pre-Calculation</t>
    <phoneticPr fontId="1" type="noConversion"/>
  </si>
  <si>
    <t>Insufficient Check Deposit Balance Enquiry</t>
    <phoneticPr fontId="1" type="noConversion"/>
  </si>
  <si>
    <t>Virtual A/C Transaction Date Enquiry</t>
    <phoneticPr fontId="1" type="noConversion"/>
  </si>
  <si>
    <t>Flexible Loan Repayment Details Enquiry</t>
    <phoneticPr fontId="1" type="noConversion"/>
  </si>
  <si>
    <t>Loan A/C Drawn Details Enquiry</t>
    <phoneticPr fontId="1" type="noConversion"/>
  </si>
  <si>
    <t>Loan Movement Enquiry</t>
    <phoneticPr fontId="1" type="noConversion"/>
  </si>
  <si>
    <t>Up-to-today Loan Repayment Enquiry</t>
    <phoneticPr fontId="1" type="noConversion"/>
  </si>
  <si>
    <t>Loan Details by ID Enquiry</t>
    <phoneticPr fontId="1" type="noConversion"/>
  </si>
  <si>
    <t>OverDraft A/C Status Enquiry</t>
    <phoneticPr fontId="1" type="noConversion"/>
  </si>
  <si>
    <t>OverDraft Available Balance Enquiry</t>
    <phoneticPr fontId="1" type="noConversion"/>
  </si>
  <si>
    <t>Cash Order - Branch Balance Enquiry by Ccy</t>
    <phoneticPr fontId="1" type="noConversion"/>
  </si>
  <si>
    <t>Foreign Cash Withdrawal Order</t>
    <phoneticPr fontId="1" type="noConversion"/>
  </si>
  <si>
    <t>Foreign Cash Order Details Enquiry</t>
    <phoneticPr fontId="1" type="noConversion"/>
  </si>
  <si>
    <t>Outward FX Remittance by ID Enquiry</t>
    <phoneticPr fontId="1" type="noConversion"/>
  </si>
  <si>
    <t>FX Exchange Rate Order Enquiry</t>
    <phoneticPr fontId="1" type="noConversion"/>
  </si>
  <si>
    <t>Exceeding 500K TWD FX Exchange Daily Transaction Enquiry</t>
    <phoneticPr fontId="1" type="noConversion"/>
  </si>
  <si>
    <t>FX Bill By ID Enquiry</t>
    <phoneticPr fontId="1" type="noConversion"/>
  </si>
  <si>
    <t xml:space="preserve">A/C Enquiry By ID </t>
    <phoneticPr fontId="1" type="noConversion"/>
  </si>
  <si>
    <t>Email/Phone Duplicate Check</t>
    <phoneticPr fontId="1" type="noConversion"/>
  </si>
  <si>
    <t>Statement Entry Enquiry</t>
    <phoneticPr fontId="1" type="noConversion"/>
  </si>
  <si>
    <t>Fee Charge Waive Total Enquiry</t>
    <phoneticPr fontId="1" type="noConversion"/>
  </si>
  <si>
    <t>Foreign Deposit/Lending Interest Rate Enquiry</t>
    <phoneticPr fontId="1" type="noConversion"/>
  </si>
  <si>
    <t>預約轉帳交易</t>
    <phoneticPr fontId="1" type="noConversion"/>
  </si>
  <si>
    <t>IL0003</t>
  </si>
  <si>
    <t>FUNDS.TRANSFER</t>
    <phoneticPr fontId="1" type="noConversion"/>
  </si>
  <si>
    <t>FT,TMB.OD.DUMMY.INP</t>
    <phoneticPr fontId="1" type="noConversion"/>
  </si>
  <si>
    <t>私房錢動用</t>
    <phoneticPr fontId="1" type="noConversion"/>
  </si>
  <si>
    <t>IL0004</t>
  </si>
  <si>
    <t>LIMIT</t>
    <phoneticPr fontId="1" type="noConversion"/>
  </si>
  <si>
    <t>LIMIT,TMB.INAU</t>
    <phoneticPr fontId="1" type="noConversion"/>
  </si>
  <si>
    <t>EF0006</t>
  </si>
  <si>
    <t>EF0007</t>
  </si>
  <si>
    <t>針對幣別提供可預約現鈔分行與餘額查詢</t>
    <phoneticPr fontId="1" type="noConversion"/>
  </si>
  <si>
    <t>EL0008</t>
  </si>
  <si>
    <t>私房錢總覽</t>
    <phoneticPr fontId="1" type="noConversion"/>
  </si>
  <si>
    <t>EL0009</t>
  </si>
  <si>
    <t>TMB.WHAT.IF.SUBLI.CLOSE</t>
    <phoneticPr fontId="1" type="noConversion"/>
  </si>
  <si>
    <t>停用私房錢查詢</t>
    <phoneticPr fontId="1" type="noConversion"/>
  </si>
  <si>
    <t>EL0010</t>
  </si>
  <si>
    <t>TMB.OD.INT.REPAY.DET</t>
    <phoneticPr fontId="1" type="noConversion"/>
  </si>
  <si>
    <t>EC0009</t>
  </si>
  <si>
    <t>TMB.EVT.LIST.ENQ</t>
    <phoneticPr fontId="1" type="noConversion"/>
  </si>
  <si>
    <t>私房錢結清執行_未曾動用</t>
    <phoneticPr fontId="1" type="noConversion"/>
  </si>
  <si>
    <t>ENQ TMB.OD.DUMMY.DTL</t>
    <phoneticPr fontId="1" type="noConversion"/>
  </si>
  <si>
    <t>TMB.OF.CS.COMM.AMT,</t>
    <phoneticPr fontId="1" type="noConversion"/>
  </si>
  <si>
    <t>預約外幣現鈔手續費計算</t>
    <phoneticPr fontId="1" type="noConversion"/>
  </si>
  <si>
    <t>TMB.OF.CS.ORDER.BRANCH,</t>
    <phoneticPr fontId="1" type="noConversion"/>
  </si>
  <si>
    <t>外幣帳戶銷戶</t>
    <phoneticPr fontId="1" type="noConversion"/>
  </si>
  <si>
    <t>存摺封面列印</t>
    <phoneticPr fontId="1" type="noConversion"/>
  </si>
  <si>
    <t>FATCA&amp;CRS</t>
    <phoneticPr fontId="1" type="noConversion"/>
  </si>
  <si>
    <t>放款彈性繳款申請</t>
    <phoneticPr fontId="1" type="noConversion"/>
  </si>
  <si>
    <t>Special Revolving Loan Detail Enquiry</t>
    <phoneticPr fontId="1" type="noConversion"/>
  </si>
  <si>
    <t>Special Revolving Loan Closure Enquiry</t>
    <phoneticPr fontId="1" type="noConversion"/>
  </si>
  <si>
    <t>Special Revolving Loan Interest Payment Enquiry</t>
    <phoneticPr fontId="1" type="noConversion"/>
  </si>
  <si>
    <t>Special Revolving Loan Termination Event Detail Enquiry</t>
    <phoneticPr fontId="1" type="noConversion"/>
  </si>
  <si>
    <t>Special Revolving Loan Closure</t>
    <phoneticPr fontId="1" type="noConversion"/>
  </si>
  <si>
    <t>Special Revolving Loan Drawdown</t>
    <phoneticPr fontId="1" type="noConversion"/>
  </si>
  <si>
    <t>PiggyBank A/C Status Enquiry</t>
    <phoneticPr fontId="1" type="noConversion"/>
  </si>
  <si>
    <t>PiggyBank Termination</t>
    <phoneticPr fontId="1" type="noConversion"/>
  </si>
  <si>
    <t>PiggyBank</t>
    <phoneticPr fontId="1" type="noConversion"/>
  </si>
  <si>
    <t>A/C Opening Enquiry By ID</t>
    <phoneticPr fontId="1" type="noConversion"/>
  </si>
  <si>
    <t>PiggyBank Main A/C Enquiry</t>
    <phoneticPr fontId="1" type="noConversion"/>
  </si>
  <si>
    <t>PiggyBank Transaction Enquiry</t>
    <phoneticPr fontId="1" type="noConversion"/>
  </si>
  <si>
    <t>Designated Funds Transfer A/C Enquiry</t>
    <phoneticPr fontId="1" type="noConversion"/>
  </si>
  <si>
    <t>線上銷戶查詢</t>
  </si>
  <si>
    <t>券商代號申請</t>
  </si>
  <si>
    <t>換匯新資金定存優惠專案</t>
  </si>
  <si>
    <t>應付利息查詢</t>
    <phoneticPr fontId="1" type="noConversion"/>
  </si>
  <si>
    <t>手機轉帳查詢交易</t>
  </si>
  <si>
    <t>已付利息查詢</t>
  </si>
  <si>
    <r>
      <t>(台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外幣</t>
    </r>
    <r>
      <rPr>
        <sz val="11"/>
        <color theme="1"/>
        <rFont val="Calibri"/>
        <family val="2"/>
      </rPr>
      <t>)</t>
    </r>
    <r>
      <rPr>
        <sz val="11"/>
        <color theme="1"/>
        <rFont val="微軟正黑體"/>
        <family val="2"/>
        <charset val="136"/>
      </rPr>
      <t>定存開單利率查詢</t>
    </r>
  </si>
  <si>
    <t>虛擬帳號</t>
    <phoneticPr fontId="1" type="noConversion"/>
  </si>
  <si>
    <t>定存歸戶總覽查詢</t>
  </si>
  <si>
    <t>存單解約明細試算查詢</t>
  </si>
  <si>
    <t>當日提示票據查詢</t>
  </si>
  <si>
    <t>虛擬帳號</t>
  </si>
  <si>
    <t>顯示撥款資料</t>
    <phoneticPr fontId="1" type="noConversion"/>
  </si>
  <si>
    <t>截至當日應繳金額查詢</t>
  </si>
  <si>
    <r>
      <t>使用明細查詢</t>
    </r>
    <r>
      <rPr>
        <sz val="11"/>
        <color theme="1"/>
        <rFont val="Calibri"/>
        <family val="2"/>
      </rPr>
      <t>_</t>
    </r>
    <r>
      <rPr>
        <sz val="11"/>
        <color theme="1"/>
        <rFont val="微軟正黑體"/>
        <family val="2"/>
        <charset val="136"/>
      </rPr>
      <t>繳息</t>
    </r>
    <phoneticPr fontId="1" type="noConversion"/>
  </si>
  <si>
    <t>G0100 帳戶總覽</t>
  </si>
  <si>
    <t>取得撲滿帳號專案註記狀態查詢</t>
  </si>
  <si>
    <r>
      <t>開戶明細查詢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歸戶餘額</t>
    </r>
    <r>
      <rPr>
        <sz val="11"/>
        <color theme="1"/>
        <rFont val="Calibri"/>
        <family val="2"/>
      </rPr>
      <t xml:space="preserve">) </t>
    </r>
  </si>
  <si>
    <r>
      <t>取得</t>
    </r>
    <r>
      <rPr>
        <sz val="11"/>
        <color theme="1"/>
        <rFont val="Calibri"/>
        <family val="2"/>
      </rPr>
      <t>Email</t>
    </r>
    <r>
      <rPr>
        <sz val="11"/>
        <color theme="1"/>
        <rFont val="微軟正黑體"/>
        <family val="2"/>
        <charset val="136"/>
      </rPr>
      <t>或</t>
    </r>
    <r>
      <rPr>
        <sz val="11"/>
        <color theme="1"/>
        <rFont val="Calibri"/>
        <family val="2"/>
      </rPr>
      <t>Phone</t>
    </r>
    <r>
      <rPr>
        <sz val="11"/>
        <color theme="1"/>
        <rFont val="微軟正黑體"/>
        <family val="2"/>
        <charset val="136"/>
      </rPr>
      <t>是否重複</t>
    </r>
    <phoneticPr fontId="1" type="noConversion"/>
  </si>
  <si>
    <t>往來明細查詢</t>
  </si>
  <si>
    <t>手續費</t>
    <phoneticPr fontId="1" type="noConversion"/>
  </si>
  <si>
    <r>
      <t>外幣活期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放款利率查詢</t>
    </r>
  </si>
  <si>
    <t>約轉帳號查詢</t>
  </si>
  <si>
    <r>
      <t>止扣明細查詢</t>
    </r>
    <r>
      <rPr>
        <sz val="11"/>
        <color theme="1"/>
        <rFont val="Calibri"/>
        <family val="2"/>
      </rPr>
      <t xml:space="preserve"> </t>
    </r>
    <phoneticPr fontId="1" type="noConversion"/>
  </si>
  <si>
    <r>
      <rPr>
        <sz val="11"/>
        <color rgb="FFFF0000"/>
        <rFont val="微軟正黑體"/>
        <family val="2"/>
        <charset val="136"/>
      </rPr>
      <t>顯示該客戶下授信資料</t>
    </r>
  </si>
  <si>
    <t>IF0002</t>
    <phoneticPr fontId="1" type="noConversion"/>
  </si>
  <si>
    <t>TMB.FT.CUST.ASSUM</t>
    <phoneticPr fontId="1" type="noConversion"/>
  </si>
  <si>
    <t>TMB.FT.CUST.ASSUM,EB.API.IF0002.1.0.0</t>
    <phoneticPr fontId="1" type="noConversion"/>
  </si>
  <si>
    <t>匯出匯款-客戶檔維護</t>
    <phoneticPr fontId="1" type="noConversion"/>
  </si>
  <si>
    <t>Outward remittance-customer file maintenance</t>
    <phoneticPr fontId="1" type="noConversion"/>
  </si>
  <si>
    <t>ED0017</t>
  </si>
  <si>
    <t>?</t>
    <phoneticPr fontId="1" type="noConversion"/>
  </si>
  <si>
    <t>Time Deposit Accumulated Interests Paid &amp; Unpaid Amount Enquiry</t>
    <phoneticPr fontId="1" type="noConversion"/>
  </si>
  <si>
    <t>Scheduled Time Deposit Details Enquiry(Executed, To-be-executed)</t>
    <phoneticPr fontId="1" type="noConversion"/>
  </si>
  <si>
    <t>ED0004</t>
    <phoneticPr fontId="1" type="noConversion"/>
  </si>
  <si>
    <t>Scheduled Funds Transfer Details Enquiry</t>
    <phoneticPr fontId="1" type="noConversion"/>
  </si>
  <si>
    <t>ID0016</t>
  </si>
  <si>
    <t>ID0017</t>
  </si>
  <si>
    <t>ID0018</t>
  </si>
  <si>
    <t>/api/v1.0.0/party/ID0016</t>
  </si>
  <si>
    <t>/api/v1.0.0/party/ID0017</t>
  </si>
  <si>
    <t>/api/v1.0.0/party/ID0018</t>
  </si>
  <si>
    <t>預約轉帳查詢</t>
    <phoneticPr fontId="1" type="noConversion"/>
  </si>
  <si>
    <t>EF0008</t>
  </si>
  <si>
    <t>EC0010</t>
  </si>
  <si>
    <t>FX Exchange Rate History Enquiry</t>
    <phoneticPr fontId="1" type="noConversion"/>
  </si>
  <si>
    <t>Transaction Limit Enquiry</t>
    <phoneticPr fontId="1" type="noConversion"/>
  </si>
  <si>
    <t>TMB.FWD.TXN.REG.GRP</t>
  </si>
  <si>
    <t>TMB.FWD.TXN.REG.GRP,EB.API.ID0016.1.0.0</t>
  </si>
  <si>
    <t>TMB.CYCLE.TD.REGISTER</t>
  </si>
  <si>
    <t>TMB.CYCLE.TD.REGISTER,EB.API.ID0017.1.0.0</t>
  </si>
  <si>
    <t>預約定存開單_週期性及預約日</t>
  </si>
  <si>
    <t>TMB.CYCLE.TD.REGISTER,EB.API.ID0018.1.0.0</t>
  </si>
  <si>
    <t>取消預約定存開單_週期性及預約日</t>
  </si>
  <si>
    <t>Execute Scheduled Time Deposits(Insert/Edit/Cancel)</t>
    <phoneticPr fontId="1" type="noConversion"/>
  </si>
  <si>
    <t>Booking Scheduled Time Deposits(Cycle/Book Date)</t>
    <phoneticPr fontId="1" type="noConversion"/>
  </si>
  <si>
    <t>Cancel Booked Scheduled Time Deposits(Cycle/Book Date)</t>
    <phoneticPr fontId="1" type="noConversion"/>
  </si>
  <si>
    <t>/api/v1.0.0/party/ED0016</t>
  </si>
  <si>
    <t>ENQ.API.ED0016.1.0.0</t>
  </si>
  <si>
    <t>提列息及已付利息總和查詢</t>
  </si>
  <si>
    <t>/api/v1.0.0/party/ED0017</t>
  </si>
  <si>
    <t>ENQ.API.ED0017.1.0.0</t>
  </si>
  <si>
    <t>查詢預約定存開單明細</t>
  </si>
  <si>
    <t>/api/v1.0.0/party/EF0008</t>
  </si>
  <si>
    <t>ENQ.API.EF0008.1.0.0</t>
  </si>
  <si>
    <t>TMB.EXRATE.DTL.ENQ</t>
  </si>
  <si>
    <t>/api/v1.0.0/party/EC0010</t>
  </si>
  <si>
    <t>ENQ.API.EC0010.1.0.0</t>
  </si>
  <si>
    <t>TMB.AMT.QUOTA.ENQ</t>
  </si>
  <si>
    <t>ED0016</t>
    <phoneticPr fontId="1" type="noConversion"/>
  </si>
  <si>
    <t>Y</t>
    <phoneticPr fontId="1" type="noConversion"/>
  </si>
  <si>
    <t>Spec Date</t>
    <phoneticPr fontId="1" type="noConversion"/>
  </si>
  <si>
    <t>Dev/UT Complete</t>
    <phoneticPr fontId="1" type="noConversion"/>
  </si>
  <si>
    <t>IC0002</t>
    <phoneticPr fontId="1" type="noConversion"/>
  </si>
  <si>
    <t>Customer Profile Change, 2023.4.10 add "SinoPac Inv. Service Cross-Sale" flag.</t>
    <phoneticPr fontId="1" type="noConversion"/>
  </si>
  <si>
    <t>Y</t>
  </si>
  <si>
    <t>總計</t>
  </si>
  <si>
    <t>計數 - No</t>
  </si>
  <si>
    <t>Spec Date</t>
  </si>
  <si>
    <t>DEV/UT Complete</t>
  </si>
  <si>
    <t>Y</t>
    <phoneticPr fontId="1" type="noConversion"/>
  </si>
  <si>
    <t>Version:</t>
    <phoneticPr fontId="1" type="noConversion"/>
  </si>
  <si>
    <t>ED0018</t>
    <phoneticPr fontId="1" type="noConversion"/>
  </si>
  <si>
    <t>新增約定帳號帳號檢核查詢</t>
    <phoneticPr fontId="1" type="noConversion"/>
  </si>
  <si>
    <t>/api/v1.0.0/party/ED0018</t>
  </si>
  <si>
    <t>ENQ.API.ED0018.1.0.0</t>
  </si>
  <si>
    <t>TMB.TXN.REG.ACCT.EVT.CHK.ENQ</t>
  </si>
  <si>
    <t>Registered Account Status Check Enquiry</t>
    <phoneticPr fontId="1" type="noConversion"/>
  </si>
  <si>
    <t>週期性預約轉帳</t>
    <phoneticPr fontId="1" type="noConversion"/>
  </si>
  <si>
    <t>放款權宜建檔</t>
    <phoneticPr fontId="1" type="noConversion"/>
  </si>
  <si>
    <t>IC0004</t>
    <phoneticPr fontId="1" type="noConversion"/>
  </si>
  <si>
    <t>ED0012</t>
    <phoneticPr fontId="1" type="noConversion"/>
  </si>
  <si>
    <t>EL0005</t>
    <phoneticPr fontId="1" type="noConversion"/>
  </si>
  <si>
    <t>EC0001</t>
    <phoneticPr fontId="1" type="noConversion"/>
  </si>
  <si>
    <t>限額查詢</t>
    <phoneticPr fontId="1" type="noConversion"/>
  </si>
  <si>
    <t>外匯歷史匯率查詢</t>
    <phoneticPr fontId="1" type="noConversion"/>
  </si>
  <si>
    <t>客戶基本資料</t>
    <phoneticPr fontId="1" type="noConversion"/>
  </si>
  <si>
    <t>Completion 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</si>
</sst>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1"/>
      <color theme="1"/>
      <name val="Calibri"/>
      <family val="2"/>
    </font>
    <font>
      <sz val="11"/>
      <color rgb="FFFF0000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1"/>
      <color theme="1"/>
      <name val="Segoe UI"/>
      <family val="2"/>
    </font>
    <font>
      <b/>
      <sz val="11"/>
      <color rgb="FFFF0000"/>
      <name val="微軟正黑體"/>
      <family val="2"/>
      <charset val="136"/>
    </font>
    <font>
      <sz val="11"/>
      <color theme="1"/>
      <name val="新細明體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5" tint="0.39997558519241921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>
      <alignment vertical="center"/>
    </xf>
  </cellStyleXfs>
  <cellXfs count="43">
    <xf numFmtId="0" fontId="0" fillId="0" borderId="0" xfId="0"/>
    <xf numFmtId="0" fontId="2" fillId="0" borderId="0" xfId="0" applyFont="1"/>
    <xf numFmtId="0" fontId="2" fillId="2" borderId="2" xfId="0" applyFont="1" applyFill="1" applyBorder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3" xfId="0" applyFont="1" applyFill="1" applyBorder="1" applyAlignment="1">
      <alignment horizontal="left"/>
    </xf>
    <xf numFmtId="0" fontId="2" fillId="0" borderId="1" xfId="0" applyFont="1" applyBorder="1"/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3" fillId="2" borderId="2" xfId="0" applyFont="1" applyFill="1" applyBorder="1"/>
    <xf numFmtId="0" fontId="6" fillId="2" borderId="2" xfId="0" applyFont="1" applyFill="1" applyBorder="1"/>
    <xf numFmtId="0" fontId="4" fillId="3" borderId="1" xfId="0" applyFont="1" applyFill="1" applyBorder="1"/>
    <xf numFmtId="0" fontId="4" fillId="3" borderId="3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4" borderId="2" xfId="0" applyFont="1" applyFill="1" applyBorder="1"/>
    <xf numFmtId="0" fontId="5" fillId="4" borderId="2" xfId="0" applyFont="1" applyFill="1" applyBorder="1" applyAlignment="1">
      <alignment wrapText="1"/>
    </xf>
    <xf numFmtId="0" fontId="5" fillId="5" borderId="0" xfId="0" applyFont="1" applyFill="1" applyBorder="1" applyAlignment="1">
      <alignment horizontal="left"/>
    </xf>
    <xf numFmtId="0" fontId="4" fillId="3" borderId="2" xfId="0" applyFont="1" applyFill="1" applyBorder="1"/>
    <xf numFmtId="0" fontId="4" fillId="3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Border="1"/>
    <xf numFmtId="0" fontId="7" fillId="4" borderId="3" xfId="0" applyFont="1" applyFill="1" applyBorder="1" applyAlignment="1">
      <alignment horizontal="left"/>
    </xf>
    <xf numFmtId="0" fontId="7" fillId="4" borderId="0" xfId="0" applyFont="1" applyFill="1" applyBorder="1" applyAlignment="1">
      <alignment horizontal="center"/>
    </xf>
    <xf numFmtId="9" fontId="5" fillId="0" borderId="0" xfId="1" applyFont="1" applyAlignment="1"/>
    <xf numFmtId="0" fontId="2" fillId="0" borderId="0" xfId="0" pivotButton="1" applyFont="1"/>
    <xf numFmtId="0" fontId="2" fillId="0" borderId="0" xfId="0" applyNumberFormat="1" applyFont="1"/>
    <xf numFmtId="0" fontId="2" fillId="0" borderId="0" xfId="0" applyNumberFormat="1" applyFont="1" applyAlignment="1">
      <alignment horizontal="center"/>
    </xf>
    <xf numFmtId="0" fontId="2" fillId="0" borderId="0" xfId="0" pivotButton="1" applyFont="1" applyAlignment="1">
      <alignment horizontal="center" wrapText="1"/>
    </xf>
    <xf numFmtId="14" fontId="2" fillId="0" borderId="0" xfId="0" applyNumberFormat="1" applyFont="1" applyAlignment="1">
      <alignment horizontal="center"/>
    </xf>
    <xf numFmtId="9" fontId="5" fillId="0" borderId="0" xfId="1" applyFont="1" applyAlignment="1">
      <alignment horizontal="center"/>
    </xf>
    <xf numFmtId="0" fontId="2" fillId="7" borderId="1" xfId="0" applyFont="1" applyFill="1" applyBorder="1"/>
    <xf numFmtId="0" fontId="2" fillId="7" borderId="2" xfId="0" applyFont="1" applyFill="1" applyBorder="1"/>
    <xf numFmtId="0" fontId="2" fillId="7" borderId="3" xfId="0" applyFont="1" applyFill="1" applyBorder="1" applyAlignment="1">
      <alignment horizontal="left"/>
    </xf>
    <xf numFmtId="0" fontId="2" fillId="7" borderId="0" xfId="0" applyFont="1" applyFill="1" applyBorder="1" applyAlignment="1">
      <alignment horizontal="center"/>
    </xf>
    <xf numFmtId="0" fontId="2" fillId="7" borderId="0" xfId="0" applyFont="1" applyFill="1" applyBorder="1" applyAlignment="1">
      <alignment horizontal="left"/>
    </xf>
    <xf numFmtId="0" fontId="4" fillId="6" borderId="0" xfId="0" applyFont="1" applyFill="1" applyAlignment="1">
      <alignment horizontal="center"/>
    </xf>
  </cellXfs>
  <cellStyles count="2">
    <cellStyle name="一般" xfId="0" builtinId="0"/>
    <cellStyle name="百分比" xfId="1" builtinId="5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center" vertical="bottom" textRotation="0" wrapText="0" indent="0" justifyLastLine="0" shrinkToFit="0" readingOrder="0"/>
    </dxf>
    <dxf>
      <font>
        <color theme="1"/>
      </font>
    </dxf>
    <dxf>
      <font>
        <color theme="1"/>
      </font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5113.782635185184" createdVersion="7" refreshedVersion="7" minRefreshableVersion="3" recordCount="75" xr:uid="{D99A5F7D-C313-4D9C-97D4-00F4034661A5}">
  <cacheSource type="worksheet">
    <worksheetSource ref="B2:M77" sheet="IRIS"/>
  </cacheSource>
  <cacheFields count="12">
    <cacheField name="No" numFmtId="0">
      <sharedItems containsSemiMixedTypes="0" containsString="0" containsNumber="1" containsInteger="1" minValue="1" maxValue="75"/>
    </cacheField>
    <cacheField name="KEY" numFmtId="0">
      <sharedItems/>
    </cacheField>
    <cacheField name="URL" numFmtId="0">
      <sharedItems/>
    </cacheField>
    <cacheField name="APPLICATION" numFmtId="0">
      <sharedItems containsBlank="1"/>
    </cacheField>
    <cacheField name="VERSION/ENQUIRY" numFmtId="0">
      <sharedItems/>
    </cacheField>
    <cacheField name="Original VERSION/ENQUIRY" numFmtId="0">
      <sharedItems containsBlank="1"/>
    </cacheField>
    <cacheField name="API Desc" numFmtId="0">
      <sharedItems/>
    </cacheField>
    <cacheField name="Channel" numFmtId="0">
      <sharedItems containsNonDate="0" containsString="0" containsBlank="1"/>
    </cacheField>
    <cacheField name="Applicant" numFmtId="0">
      <sharedItems containsNonDate="0" containsString="0" containsBlank="1"/>
    </cacheField>
    <cacheField name="Spec Date" numFmtId="0">
      <sharedItems containsSemiMixedTypes="0" containsString="0" containsNumber="1" containsInteger="1" minValue="20220916" maxValue="20230703" count="17">
        <n v="20220926"/>
        <n v="20221014"/>
        <n v="20230324"/>
        <n v="20221007"/>
        <n v="20230524"/>
        <n v="20230206"/>
        <n v="20230201"/>
        <n v="20230703"/>
        <n v="20230601"/>
        <n v="20230323"/>
        <n v="20220916"/>
        <n v="20221227"/>
        <n v="20230209"/>
        <n v="20230410"/>
        <n v="20220930"/>
        <n v="20230215"/>
        <n v="20221202"/>
      </sharedItems>
    </cacheField>
    <cacheField name="Dev/UT Complete" numFmtId="0">
      <sharedItems containsBlank="1" count="2">
        <s v="Y"/>
        <m u="1"/>
      </sharedItems>
    </cacheField>
    <cacheField name="API English Desc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n v="1"/>
    <s v="ID0001"/>
    <s v="/api/v1.0.0/party/ID0001"/>
    <s v="ACCOUNT"/>
    <s v="ACCOUNT,EB.API.ID0001.1.0.0"/>
    <s v="ACCOUNT,TMB.AC.MODIF"/>
    <s v="帳戶主檔變更"/>
    <m/>
    <m/>
    <x v="0"/>
    <x v="0"/>
    <s v="Account Change"/>
  </r>
  <r>
    <n v="2"/>
    <s v="ID0002"/>
    <s v="/api/v1.0.0/party/ID0002"/>
    <s v="ACCOUNT"/>
    <s v="ACCOUNT,EB.API.ID0002.1.0.0"/>
    <s v="ACCOUNT,TMB.SEE"/>
    <s v="帳戶主檔查詢  "/>
    <m/>
    <m/>
    <x v="1"/>
    <x v="0"/>
    <s v="Account Enquiry"/>
  </r>
  <r>
    <n v="3"/>
    <s v="ID0003"/>
    <s v="/api/v1.0.0/party/ID0003"/>
    <s v="ACCOUNT"/>
    <s v="ACCOUNT,EB.API.ID0003.1.0.0"/>
    <s v="ACCOUNT.CLOSURE,TMB.TXN.INP"/>
    <s v="線上銷戶"/>
    <m/>
    <m/>
    <x v="2"/>
    <x v="0"/>
    <s v="Account Closure"/>
  </r>
  <r>
    <n v="4"/>
    <s v="ID0004"/>
    <s v="/api/v1.0.0/party/ID0004"/>
    <s v="AZ.ACCOUNT"/>
    <s v="AZ.ACCOUNT,EB.API.ID0004.1.0.0"/>
    <s v="AZ.ACCOUNT,TMBI.B4100.TXN.INP"/>
    <s v="定存中途解約"/>
    <m/>
    <m/>
    <x v="3"/>
    <x v="0"/>
    <s v="Premature Time Deposit Termination"/>
  </r>
  <r>
    <n v="5"/>
    <s v="ID0005"/>
    <s v="/api/v1.0.0/party/ID0005"/>
    <s v="AZ.ACCOUNT"/>
    <s v="AZ.ACCOUNT,EB.API.ID0005.1.0.0"/>
    <s v="AZ.ACCOUNT,TMBI.H5000.MAT.INS.INP"/>
    <s v="存單續存"/>
    <m/>
    <m/>
    <x v="4"/>
    <x v="0"/>
    <s v="Time Deposit Recurring on maturity"/>
  </r>
  <r>
    <n v="6"/>
    <s v="ID0006"/>
    <s v="/api/v1.0.0/party/ID0006"/>
    <s v="FUNDS.TRANSFER"/>
    <s v="FUNDS.TRANSFER,EB.API.ID0006.1.0.0"/>
    <s v="FUNDS.TRANSFER,TMBI.CM.TXN.INP"/>
    <s v="轉帳交易"/>
    <m/>
    <m/>
    <x v="5"/>
    <x v="0"/>
    <s v="Funds Transfer"/>
  </r>
  <r>
    <n v="7"/>
    <s v="ID0007"/>
    <s v="/api/v1.0.0/party/ID0007"/>
    <s v="TMBI.TD.CRT.TXN.DTL"/>
    <s v="TMBI.TD.CRT.TXN.DTL,EB.API.ID0007.1.0.0"/>
    <s v="TMBI.TD.CRT.TXN.DTL,TMBI.B3300.TXN.INP"/>
    <s v="定存開單(存款)"/>
    <m/>
    <m/>
    <x v="6"/>
    <x v="0"/>
    <s v="Time Deposit Opening"/>
  </r>
  <r>
    <n v="8"/>
    <s v="ID0008"/>
    <s v="/api/v1.0.0/party/ID0008"/>
    <s v="TMB.AIO.ACCT"/>
    <s v="TMB.AIO.ACCT,EB.API.ID0008.1.0.0"/>
    <s v="TMB.AIO.ACCT,"/>
    <s v="活轉定約定"/>
    <m/>
    <m/>
    <x v="0"/>
    <x v="0"/>
    <s v="Savings to Time Deposit Setting"/>
  </r>
  <r>
    <n v="9"/>
    <s v="ID0008"/>
    <s v="/api/v1.0.0/party/ID0008"/>
    <s v="TMB.AIO.ACCT"/>
    <s v="TMB.AIO.ACCT,EB.API.ID0008.1.0.0"/>
    <s v="TMB.AIO.ACCT,MAINTAIN.AIO"/>
    <s v="活轉定約定"/>
    <m/>
    <m/>
    <x v="0"/>
    <x v="0"/>
    <s v="Savings to Time Deposit Setting"/>
  </r>
  <r>
    <n v="10"/>
    <s v="ID0009"/>
    <s v="/api/v1.0.0/party/ID0009"/>
    <s v="TMB.AIO.MAIN.ACCT"/>
    <s v="TMB.AIO.MAIN.ACCT,EB.API.ID0009.1.0.0"/>
    <s v="TMB.AIO.MAIN.ACCT,TMB.ACCLOSE"/>
    <s v="外幣帳戶銷戶"/>
    <m/>
    <m/>
    <x v="2"/>
    <x v="0"/>
    <s v="Foreign Ccy Account Termination"/>
  </r>
  <r>
    <n v="11"/>
    <s v="ID0010"/>
    <s v="/api/v1.0.0/party/ID0010"/>
    <s v="TMB.AIO.MAIN.ACCT"/>
    <s v="TMB.AIO.MAIN.ACCT,EB.API.ID0010.1.0.0"/>
    <s v="TMB.AIO.MAIN.ACCT,TMB.ADD.CCY"/>
    <s v="新增外幣子帳戶"/>
    <m/>
    <m/>
    <x v="0"/>
    <x v="0"/>
    <s v="Add Foreign Ccy Sub-Account"/>
  </r>
  <r>
    <n v="12"/>
    <s v="ID0011"/>
    <s v="/api/v1.0.0/party/ID0011"/>
    <s v="TMB.AIO.MAIN.ACCT"/>
    <s v="TMB.AIO.MAIN.ACCT,EB.API.ID0011.1.0.0"/>
    <s v="TMB.AIO.MAIN.ACCT,TMB.AMD"/>
    <s v="外幣帳戶主檔變更"/>
    <m/>
    <m/>
    <x v="3"/>
    <x v="0"/>
    <s v="Foreign Ccy Main Account Change"/>
  </r>
  <r>
    <n v="13"/>
    <s v="ID0012"/>
    <s v="/api/v1.0.0/party/ID0012"/>
    <s v="TMB.EVT.REGISTER"/>
    <s v="TMB.EVT.REGISTER,EB.API.ID0012.1.0.0"/>
    <s v="TMB.EVT.REGISTER,TMBI.H6000.EVT.INP"/>
    <s v="H5013打破撲滿,要不要歸類為ID(存款)"/>
    <m/>
    <m/>
    <x v="0"/>
    <x v="0"/>
    <s v="PiggyBank Termination"/>
  </r>
  <r>
    <n v="14"/>
    <s v="ID0013"/>
    <s v="/api/v1.0.0/party/ID0013"/>
    <s v="TMB.FWD.TXN.REGISTER"/>
    <s v="TMB.FWD.TXN.REGISTER,EB.API.ID0013.1.0.0"/>
    <s v="TMB.FWD.TXN.REGISTER,TMBI.P1200.TXN.INP"/>
    <s v="預約轉帳交易"/>
    <m/>
    <m/>
    <x v="3"/>
    <x v="0"/>
    <s v="Advanced Collection on Deposit A/C"/>
  </r>
  <r>
    <n v="15"/>
    <s v="ID0014"/>
    <s v="/api/v1.0.0/party/ID0014"/>
    <s v="TMB.IPIG.MAIN.SET"/>
    <s v="TMB.IPIG.MAIN.SET,EB.API.ID0014.1.0.0"/>
    <s v="TMB.IPIG.MAIN.SET,TMB.INP"/>
    <s v="撲滿"/>
    <m/>
    <m/>
    <x v="7"/>
    <x v="0"/>
    <s v="PiggyBank"/>
  </r>
  <r>
    <n v="16"/>
    <s v="ID0015"/>
    <s v="/api/v1.0.0/party/ID0015"/>
    <s v="TMBI.PSB.FUNC.REGISTER"/>
    <s v="TMBI.PSB.FUNC.REGISTER,EB.API.ID0015.1.0.0"/>
    <s v="TMBI.PSB.FUNC.REGISTER,TMBI.INP"/>
    <s v="存摺封面列印"/>
    <m/>
    <m/>
    <x v="3"/>
    <x v="0"/>
    <s v="Passbook Cover Printing"/>
  </r>
  <r>
    <n v="17"/>
    <s v="ID0016"/>
    <s v="/api/v1.0.0/party/ID0016"/>
    <s v="TMB.FWD.TXN.REG.GRP"/>
    <s v="TMB.FWD.TXN.REG.GRP,EB.API.ID0016.1.0.0"/>
    <m/>
    <s v="週期性預約轉帳"/>
    <m/>
    <m/>
    <x v="8"/>
    <x v="0"/>
    <s v="Execute Scheduled Time Deposits(Insert/Edit/Cancel)"/>
  </r>
  <r>
    <n v="18"/>
    <s v="ID0017"/>
    <s v="/api/v1.0.0/party/ID0017"/>
    <s v="TMB.CYCLE.TD.REGISTER"/>
    <s v="TMB.CYCLE.TD.REGISTER,EB.API.ID0017.1.0.0"/>
    <m/>
    <s v="預約定存開單_週期性及預約日"/>
    <m/>
    <m/>
    <x v="9"/>
    <x v="0"/>
    <s v="Booking Scheduled Time Deposits(Cycle/Book Date)"/>
  </r>
  <r>
    <n v="19"/>
    <s v="ID0018"/>
    <s v="/api/v1.0.0/party/ID0018"/>
    <s v="TMB.CYCLE.TD.REGISTER"/>
    <s v="TMB.CYCLE.TD.REGISTER,EB.API.ID0018.1.0.0"/>
    <m/>
    <s v="取消預約定存開單_週期性及預約日"/>
    <m/>
    <m/>
    <x v="9"/>
    <x v="0"/>
    <s v="Cancel Booked Scheduled Time Deposits(Cycle/Book Date)"/>
  </r>
  <r>
    <n v="20"/>
    <s v="IL0001"/>
    <s v="/api/v1.0.0/party/IL0001"/>
    <s v="TMB.LN.EVENTS"/>
    <s v="TMB.LN.EVENTS,EB.API.IL0001.1.0.0"/>
    <s v="TMB.LN.EVENTS,TMB.INP"/>
    <s v="放款權宜建檔"/>
    <m/>
    <m/>
    <x v="10"/>
    <x v="0"/>
    <s v="Loan Event Register"/>
  </r>
  <r>
    <n v="21"/>
    <s v="IL0002"/>
    <s v="/api/v1.0.0/party/IL0002"/>
    <s v="TMB.LN.PROJECT.DATA"/>
    <s v="TMB.LN.PROJECT.DATA,EB.API.IL0002.1.0.0"/>
    <s v="TMB.LN.PROJECT.DATA,TMB.INP"/>
    <s v="放款彈性繳款申請"/>
    <m/>
    <m/>
    <x v="1"/>
    <x v="0"/>
    <s v="Flexible Loan Repayment Application"/>
  </r>
  <r>
    <n v="22"/>
    <s v="IL0003"/>
    <s v="/api/v1.0.0/party/IL0003"/>
    <s v="FUNDS.TRANSFER"/>
    <s v="FUNDS.TRANSFER,EB.API.IL0003.1.0.0"/>
    <s v="FT,TMB.OD.DUMMY.INP"/>
    <s v="私房錢動用"/>
    <m/>
    <m/>
    <x v="1"/>
    <x v="0"/>
    <s v="Special Revolving Loan Drawdown"/>
  </r>
  <r>
    <n v="23"/>
    <s v="IL0004"/>
    <s v="/api/v1.0.0/party/IL0004"/>
    <s v="LIMIT"/>
    <s v="LIMIT,EB.API.IL0004.1.0.0"/>
    <s v="LIMIT,TMB.INAU"/>
    <s v="私房錢結清執行_未曾動用"/>
    <m/>
    <m/>
    <x v="1"/>
    <x v="0"/>
    <s v="Special Revolving Loan Closure"/>
  </r>
  <r>
    <n v="24"/>
    <s v="IF0001"/>
    <s v="/api/v1.0.0/party/IF0001"/>
    <s v="FUNDS.TRANSFER"/>
    <s v="FUNDS.TRANSFER,EB.API.IF0001.1.0.0"/>
    <s v="FUNDS.TRANSFER,TMBI.ORDER.CASH.SELL"/>
    <s v="預約外幣現鈔"/>
    <m/>
    <m/>
    <x v="3"/>
    <x v="0"/>
    <s v="Foreign Cash Withdrawal Order"/>
  </r>
  <r>
    <n v="25"/>
    <s v="IF0002"/>
    <s v="/api/v1.0.0/party/IF0002"/>
    <s v="TMB.FT.CUST.ASSUM"/>
    <s v="TMB.FT.CUST.ASSUM,EB.API.IF0002.1.0.0"/>
    <s v="TMB.FT.CUST.ASSUM"/>
    <s v="匯出匯款-客戶檔維護"/>
    <m/>
    <m/>
    <x v="11"/>
    <x v="0"/>
    <s v="Outward remittance-customer file maintenance"/>
  </r>
  <r>
    <n v="26"/>
    <s v="IC0001"/>
    <s v="/api/v1.0.0/party/IC0001"/>
    <s v="CUSTOMER"/>
    <s v="CUSTOMER,EB.API.IC0001.1.0.0"/>
    <s v="CUSTOMER,"/>
    <s v="客戶基本資料"/>
    <m/>
    <m/>
    <x v="12"/>
    <x v="0"/>
    <s v="Customer Enquiry"/>
  </r>
  <r>
    <n v="27"/>
    <s v="IC0002"/>
    <s v="/api/v1.0.0/party/IC0002"/>
    <s v="CUSTOMER"/>
    <s v="CUSTOMER,EB.API.IC0002.1.0.0"/>
    <s v="CUSTOMER,TMBI.AMEND"/>
    <s v="客戶基本資料異動"/>
    <m/>
    <m/>
    <x v="13"/>
    <x v="0"/>
    <s v="Customer Profile Change, 2023.4.10 add &quot;SinoPac Inv. Service Cross-Sale&quot; flag."/>
  </r>
  <r>
    <n v="28"/>
    <s v="IC0003"/>
    <s v="/api/v1.0.0/party/IC0003"/>
    <s v="TMB.CUS.FOREIGN.TAX"/>
    <s v="TMB.CUS.FOREIGN.TAX,EB.API.IC0003.1.0.0"/>
    <s v="TMB.CUS.FOREIGN.TAX,TMB.AMEND"/>
    <s v="FATCA&amp;CRS"/>
    <m/>
    <m/>
    <x v="10"/>
    <x v="0"/>
    <s v="FATCA &amp; CRS"/>
  </r>
  <r>
    <n v="29"/>
    <s v="IC0004"/>
    <s v="/api/v1.0.0/party/IC0004"/>
    <s v="TMB.TXN.ACCT.CRG.CONF"/>
    <s v="TMB.TXN.ACCT.CRG.CONF,EB.API.IC0004.1.0.0"/>
    <s v="TMB.TXN.ACCT.CRG.CONF,TMB.INP"/>
    <s v="約定轉帳和手續費相關"/>
    <m/>
    <m/>
    <x v="14"/>
    <x v="0"/>
    <s v="Funds Transfer Reservation Fee Charge"/>
  </r>
  <r>
    <n v="30"/>
    <s v="ED0001"/>
    <s v="/api/v1.0.0/party/ED0001"/>
    <m/>
    <s v="ENQ.API.ED0001.1.0.0"/>
    <s v="TMB.AC.ENQ.ACCLOSE"/>
    <s v="線上銷戶查詢"/>
    <m/>
    <m/>
    <x v="0"/>
    <x v="0"/>
    <s v="A/C Closure Enquiry"/>
  </r>
  <r>
    <n v="31"/>
    <s v="ED0002"/>
    <s v="/api/v1.0.0/party/ED0002"/>
    <m/>
    <s v="ENQ.API.ED0002.1.0.0"/>
    <s v="TMB.ENQ.ACCT.SEC.UPD"/>
    <s v="券商代號申請"/>
    <m/>
    <m/>
    <x v="0"/>
    <x v="0"/>
    <s v="Securities Broker ID Apply"/>
  </r>
  <r>
    <n v="32"/>
    <s v="ED0003"/>
    <s v="/api/v1.0.0/party/ED0003"/>
    <m/>
    <s v="ENQ.API.ED0003.1.0.0"/>
    <s v="TMB.EXCH.AMT.ENQ"/>
    <s v="換匯新資金定存優惠專案"/>
    <m/>
    <m/>
    <x v="14"/>
    <x v="0"/>
    <s v="FX Transfer to Time Deposit Promotion Project"/>
  </r>
  <r>
    <n v="33"/>
    <s v="ED0004"/>
    <s v="/api/v1.0.0/party/ED0004"/>
    <s v="?"/>
    <s v="ENQ.API.ED0004.1.0.0"/>
    <s v="TMB.FWD.TXN.REG.ENQ"/>
    <s v="預約轉帳查詢"/>
    <m/>
    <m/>
    <x v="8"/>
    <x v="0"/>
    <s v="Scheduled Funds Transfer Details Enquiry"/>
  </r>
  <r>
    <n v="34"/>
    <s v="ED0005"/>
    <s v="/api/v1.0.0/party/ED0005"/>
    <m/>
    <s v="ENQ.API.ED0005.1.0.0"/>
    <s v="TMB.INFO.AC.CR.ENQ"/>
    <s v="應付利息查詢"/>
    <m/>
    <m/>
    <x v="14"/>
    <x v="0"/>
    <s v="Interest Payable Enquiry"/>
  </r>
  <r>
    <n v="35"/>
    <s v="ED0006"/>
    <s v="/api/v1.0.0/party/ED0006"/>
    <m/>
    <s v="ENQ.API.ED0006.1.0.0"/>
    <s v="TMB.IPIG.HTR.ENQ"/>
    <s v="撲滿往來明細查詢"/>
    <m/>
    <m/>
    <x v="14"/>
    <x v="0"/>
    <s v="PiggyBank Transaction Enquiry"/>
  </r>
  <r>
    <n v="36"/>
    <s v="ED0007"/>
    <s v="/api/v1.0.0/party/ED0007"/>
    <m/>
    <s v="ENQ.API.ED0007.1.0.0"/>
    <s v="TMB.IPIG.MAIN.SET.ENQ"/>
    <s v="撲滿"/>
    <m/>
    <m/>
    <x v="3"/>
    <x v="0"/>
    <s v="PiggyBank Main A/C Enquiry"/>
  </r>
  <r>
    <n v="37"/>
    <s v="ED0008"/>
    <s v="/api/v1.0.0/party/ED0008"/>
    <m/>
    <s v="ENQ.API.ED0008.1.0.0"/>
    <s v="TMB.PHONE.AC.MAP.ENQ"/>
    <s v="手機轉帳查詢交易"/>
    <m/>
    <m/>
    <x v="0"/>
    <x v="0"/>
    <s v="Mobile Transfer Enquiry"/>
  </r>
  <r>
    <n v="38"/>
    <s v="ED0009"/>
    <s v="/api/v1.0.0/party/ED0009"/>
    <m/>
    <s v="ENQ.API.ED0009.1.0.0"/>
    <s v="TMB.STMT.AC.CR.ENQ"/>
    <s v="已付利息查詢"/>
    <m/>
    <m/>
    <x v="10"/>
    <x v="0"/>
    <s v="Interest Payed Enquiry"/>
  </r>
  <r>
    <n v="39"/>
    <s v="ED0010"/>
    <s v="/api/v1.0.0/party/ED0010"/>
    <m/>
    <s v="ENQ.API.ED0010.1.0.0"/>
    <s v="TMB.TD.OPEN.SIMULATE.ENQ"/>
    <s v="(台/外幣)定存開單利率查詢"/>
    <m/>
    <m/>
    <x v="14"/>
    <x v="0"/>
    <s v="Time Deposit Open Interest Rate Enquiry"/>
  </r>
  <r>
    <n v="40"/>
    <s v="ED0011"/>
    <s v="/api/v1.0.0/party/ED0011"/>
    <m/>
    <s v="ENQ.API.ED0011.1.0.0"/>
    <s v="TMB.VR.AC.MAP.ENQ"/>
    <s v="虛擬帳號"/>
    <m/>
    <m/>
    <x v="3"/>
    <x v="0"/>
    <s v="Virtual Account Enquiry"/>
  </r>
  <r>
    <n v="41"/>
    <s v="ED0012"/>
    <s v="/api/v1.0.0/party/ED0012"/>
    <m/>
    <s v="ENQ.API.ED0012.1.0.0"/>
    <s v="TMBI.B0100.TD.DTL.ENQ"/>
    <s v="定存歸戶總覽查詢"/>
    <m/>
    <m/>
    <x v="6"/>
    <x v="0"/>
    <s v="Time Deposit By ID Enquiry"/>
  </r>
  <r>
    <n v="42"/>
    <s v="ED0013"/>
    <s v="/api/v1.0.0/party/ED0013"/>
    <m/>
    <s v="ENQ.API.ED0013.1.0.0"/>
    <s v="TMBI.B0400.TD.CLO.CAL.ENQ"/>
    <s v="存單解約明細試算查詢"/>
    <m/>
    <m/>
    <x v="0"/>
    <x v="0"/>
    <s v="Premature Time Deposit Termination Pre-Calculation"/>
  </r>
  <r>
    <n v="43"/>
    <s v="ED0014"/>
    <s v="/api/v1.0.0/party/ED0014"/>
    <m/>
    <s v="ENQ.API.ED0014.1.0.0"/>
    <s v="TMBI.INW.CHQ.INSUFF.BAL.ENQ"/>
    <s v="當日提示票據查詢"/>
    <m/>
    <m/>
    <x v="0"/>
    <x v="0"/>
    <s v="Insufficient Check Deposit Balance Enquiry"/>
  </r>
  <r>
    <n v="44"/>
    <s v="ED0015"/>
    <s v="/api/v1.0.0/party/ED0015"/>
    <m/>
    <s v="ENQ.API.ED0015.1.0.0"/>
    <s v="TMBI.S0230.VR.TXN.DATE.ENQ"/>
    <s v="虛擬帳號"/>
    <m/>
    <m/>
    <x v="14"/>
    <x v="0"/>
    <s v="Virtual A/C Transaction Date Enquiry"/>
  </r>
  <r>
    <n v="45"/>
    <s v="ED0016"/>
    <s v="/api/v1.0.0/party/ED0016"/>
    <m/>
    <s v="ENQ.API.ED0016.1.0.0"/>
    <m/>
    <s v="提列息及已付利息總和查詢"/>
    <m/>
    <m/>
    <x v="15"/>
    <x v="0"/>
    <s v="Time Deposit Accumulated Interests Paid &amp; Unpaid Amount Enquiry"/>
  </r>
  <r>
    <n v="46"/>
    <s v="ED0017"/>
    <s v="/api/v1.0.0/party/ED0017"/>
    <m/>
    <s v="ENQ.API.ED0017.1.0.0"/>
    <m/>
    <s v="查詢預約定存開單明細"/>
    <m/>
    <m/>
    <x v="9"/>
    <x v="0"/>
    <s v="Scheduled Time Deposit Details Enquiry(Executed, To-be-executed)"/>
  </r>
  <r>
    <n v="47"/>
    <s v="EL0001"/>
    <s v="/api/v1.0.0/party/EL0001"/>
    <m/>
    <s v="ENQ.API.EL0001.1.0.0"/>
    <s v="TMB.LN.FLEX.DATA.DETAIL"/>
    <s v="彈性繳款明細查詢"/>
    <m/>
    <m/>
    <x v="0"/>
    <x v="0"/>
    <s v="Flexible Loan Repayment Details Enquiry"/>
  </r>
  <r>
    <n v="48"/>
    <s v="EL0002"/>
    <s v="/api/v1.0.0/party/EL0002"/>
    <m/>
    <s v="ENQ.API.EL0002.1.0.0"/>
    <s v="TMB.LN.LD.DRWN.DETAIL"/>
    <s v="顯示撥款資料"/>
    <m/>
    <m/>
    <x v="14"/>
    <x v="0"/>
    <s v="Loan A/C Drawn Details Enquiry"/>
  </r>
  <r>
    <n v="49"/>
    <s v="EL0003"/>
    <s v="/api/v1.0.0/party/EL0003"/>
    <m/>
    <s v="ENQ.API.EL0003.1.0.0"/>
    <s v="TMB.LN.LD.MOVEMENT.DETAIL"/>
    <s v="當日放款往來明細查詢"/>
    <m/>
    <m/>
    <x v="0"/>
    <x v="0"/>
    <s v="Loan Movement Enquiry"/>
  </r>
  <r>
    <n v="50"/>
    <s v="EL0004"/>
    <s v="/api/v1.0.0/party/EL0004"/>
    <m/>
    <s v="ENQ.API.EL0004.1.0.0"/>
    <s v="TMB.LN.LD.REPAY.DETAIL"/>
    <s v="截至當日應繳金額查詢"/>
    <m/>
    <m/>
    <x v="10"/>
    <x v="0"/>
    <s v="Up-to-today Loan Repayment Enquiry"/>
  </r>
  <r>
    <n v="51"/>
    <s v="EL0005"/>
    <s v="/api/v1.0.0/party/EL0005"/>
    <s v="?"/>
    <s v="ENQ.API.EL0005.1.0.0"/>
    <s v="TMB.LN.LD.TOTAL.DETAIL"/>
    <s v="顯示該客戶下授信資料"/>
    <m/>
    <m/>
    <x v="16"/>
    <x v="0"/>
    <s v="Loan Details by ID Enquiry"/>
  </r>
  <r>
    <n v="52"/>
    <s v="EL0006"/>
    <s v="/api/v1.0.0/party/EL0006"/>
    <m/>
    <s v="ENQ.API.EL0006.1.0.0"/>
    <s v="TMB.OD.ACCT.STATUS"/>
    <s v="私房錢綁定帳號查詢"/>
    <m/>
    <m/>
    <x v="3"/>
    <x v="0"/>
    <s v="OverDraft A/C Status Enquiry"/>
  </r>
  <r>
    <n v="53"/>
    <s v="EL0007"/>
    <s v="/api/v1.0.0/party/EL0007"/>
    <m/>
    <s v="ENQ.API.EL0007.1.0.0"/>
    <s v="TMBI.OD.CLS.DTL.ENQ"/>
    <s v="透支額度使用金額查詢"/>
    <m/>
    <m/>
    <x v="3"/>
    <x v="0"/>
    <s v="OverDraft Available Balance Enquiry"/>
  </r>
  <r>
    <n v="54"/>
    <s v="EL0008"/>
    <s v="/api/v1.0.0/party/EL0008"/>
    <m/>
    <s v="ENQ.API.EL0008.1.0.0"/>
    <s v="ENQ TMB.OD.DUMMY.DTL"/>
    <s v="私房錢總覽"/>
    <m/>
    <m/>
    <x v="1"/>
    <x v="0"/>
    <s v="Special Revolving Loan Detail Enquiry"/>
  </r>
  <r>
    <n v="55"/>
    <s v="EL0009"/>
    <s v="/api/v1.0.0/party/EL0009"/>
    <m/>
    <s v="ENQ.API.EL0009.1.0.0"/>
    <s v="TMB.WHAT.IF.SUBLI.CLOSE"/>
    <s v="停用私房錢查詢"/>
    <m/>
    <m/>
    <x v="1"/>
    <x v="0"/>
    <s v="Special Revolving Loan Closure Enquiry"/>
  </r>
  <r>
    <n v="56"/>
    <s v="EL0010"/>
    <s v="/api/v1.0.0/party/EL0010"/>
    <m/>
    <s v="ENQ.API.EL0010.1.0.0"/>
    <s v="TMB.OD.INT.REPAY.DET"/>
    <s v="使用明細查詢_繳息"/>
    <m/>
    <m/>
    <x v="1"/>
    <x v="0"/>
    <s v="Special Revolving Loan Interest Payment Enquiry"/>
  </r>
  <r>
    <n v="57"/>
    <s v="EF0001"/>
    <s v="/api/v1.0.0/party/EF0001"/>
    <m/>
    <s v="ENQ.API.EF0001.1.0.0"/>
    <s v="TMB.CASH.ORDER.DETAILS.ENQ"/>
    <s v="預約外幣現鈔查詢"/>
    <m/>
    <m/>
    <x v="0"/>
    <x v="0"/>
    <s v="Foreign Cash Order Details Enquiry"/>
  </r>
  <r>
    <n v="58"/>
    <s v="EF0002"/>
    <s v="/api/v1.0.0/party/EF0002"/>
    <m/>
    <s v="ENQ.API.EF0002.1.0.0"/>
    <s v="TMB.FT.CUST.ASSUM.ENQ"/>
    <s v="匯出匯款客戶檔明細查詢"/>
    <m/>
    <m/>
    <x v="14"/>
    <x v="0"/>
    <s v="Outward FX Remittance by ID Enquiry"/>
  </r>
  <r>
    <n v="59"/>
    <s v="EF0003"/>
    <s v="/api/v1.0.0/party/EF0003"/>
    <m/>
    <s v="ENQ.API.EF0003.1.0.0"/>
    <s v="TMB.FX.TXN.DETAILS"/>
    <s v="兌換敲價(議價)單查詢"/>
    <m/>
    <m/>
    <x v="3"/>
    <x v="0"/>
    <s v="FX Exchange Rate Order Enquiry"/>
  </r>
  <r>
    <n v="60"/>
    <s v="EF0004"/>
    <s v="/api/v1.0.0/party/EF0004"/>
    <m/>
    <s v="ENQ.API.EF0004.1.0.0"/>
    <s v="TMB.FXLMT.ENQ"/>
    <s v="當日新台幣兌換累計達TWD50萬以上資料查詢"/>
    <m/>
    <m/>
    <x v="3"/>
    <x v="0"/>
    <s v="Exceeding 500K TWD FX Exchange Daily Transaction Enquiry"/>
  </r>
  <r>
    <n v="61"/>
    <s v="EF0005"/>
    <s v="/api/v1.0.0/party/EF0005"/>
    <m/>
    <s v="ENQ.API.EF0005.1.0.0"/>
    <s v="TMBI.CUST.BL.ENQ"/>
    <s v="光票"/>
    <m/>
    <m/>
    <x v="3"/>
    <x v="0"/>
    <s v="FX Bill By ID Enquiry"/>
  </r>
  <r>
    <n v="62"/>
    <s v="EF0006"/>
    <s v="/api/v1.0.0/party/EF0006"/>
    <s v="TMB.OF.CS.COMM.AMT"/>
    <s v="TMB.OF.CS.COMM.AMT,EB.API.EF0006.1.0.0"/>
    <s v="TMB.OF.CS.COMM.AMT,"/>
    <s v="預約外幣現鈔手續費計算"/>
    <m/>
    <m/>
    <x v="3"/>
    <x v="0"/>
    <s v="Fee Charge on Foreign Cash Withdrawal Reservation"/>
  </r>
  <r>
    <n v="63"/>
    <s v="EF0007"/>
    <s v="/api/v1.0.0/party/EF0007"/>
    <s v="TMB.OF.CS.ORDER.BRANCH"/>
    <s v="TMB.OF.CS.ORDER.BRANCH,EB.API.EF0007.1.0.0"/>
    <s v="TMB.OF.CS.ORDER.BRANCH,"/>
    <s v="針對幣別提供可預約現鈔分行與餘額查詢"/>
    <m/>
    <m/>
    <x v="3"/>
    <x v="0"/>
    <s v="Cash Order - Branch Balance Enquiry by Ccy"/>
  </r>
  <r>
    <n v="64"/>
    <s v="EF0008"/>
    <s v="/api/v1.0.0/party/EF0008"/>
    <m/>
    <s v="ENQ.API.EF0008.1.0.0"/>
    <s v="TMB.EXRATE.DTL.ENQ"/>
    <s v="外匯歷史匯率查詢"/>
    <m/>
    <m/>
    <x v="15"/>
    <x v="0"/>
    <s v="FX Exchange Rate History Enquiry"/>
  </r>
  <r>
    <n v="65"/>
    <s v="EC0001"/>
    <s v="/api/v1.0.0/party/EC0001"/>
    <m/>
    <s v="ENQ.API.EC0001.1.0.0"/>
    <s v="TMB.AC.BAL.DTL.LIST.ENQ"/>
    <s v="G0100 帳戶總覽"/>
    <m/>
    <m/>
    <x v="13"/>
    <x v="0"/>
    <s v="A/C Enquiry By ID "/>
  </r>
  <r>
    <n v="66"/>
    <s v="EC0002"/>
    <s v="/api/v1.0.0/party/EC0002"/>
    <m/>
    <s v="ENQ.API.EC0002.1.0.0"/>
    <s v="TMB.AC.MST.DTL.ENQ"/>
    <s v="取得撲滿帳號專案註記狀態查詢"/>
    <m/>
    <m/>
    <x v="14"/>
    <x v="0"/>
    <s v="PiggyBank A/C Status Enquiry"/>
  </r>
  <r>
    <n v="67"/>
    <s v="EC0003"/>
    <s v="/api/v1.0.0/party/EC0003"/>
    <m/>
    <s v="ENQ.API.EC0003.1.0.0"/>
    <s v="TMB.ACCOUNT.PROJECT.ENQ"/>
    <s v="開戶明細查詢(歸戶餘額) "/>
    <m/>
    <m/>
    <x v="14"/>
    <x v="0"/>
    <s v="A/C Opening Enquiry By ID"/>
  </r>
  <r>
    <n v="68"/>
    <s v="EC0004"/>
    <s v="/api/v1.0.0/party/EC0004"/>
    <m/>
    <s v="ENQ.API.EC0004.1.0.0"/>
    <s v="TMB.CUST.EMAIL.ENQ"/>
    <s v="取得Email或Phone是否重複"/>
    <m/>
    <m/>
    <x v="14"/>
    <x v="0"/>
    <s v="Email/Phone Duplicate Check"/>
  </r>
  <r>
    <n v="69"/>
    <s v="EC0005"/>
    <s v="/api/v1.0.0/party/EC0005"/>
    <m/>
    <s v="ENQ.API.EC0005.1.0.0"/>
    <s v="TMB.STMT.ENT.BOOK.ENQ"/>
    <s v="往來明細查詢"/>
    <m/>
    <m/>
    <x v="3"/>
    <x v="0"/>
    <s v="Statement Entry Enquiry"/>
  </r>
  <r>
    <n v="70"/>
    <s v="EC0006"/>
    <s v="/api/v1.0.0/party/EC0006"/>
    <m/>
    <s v="ENQ.API.EC0006.1.0.0"/>
    <s v="TMBI.CRG.WAV.TOT.ENQ"/>
    <s v="手續費"/>
    <m/>
    <m/>
    <x v="14"/>
    <x v="0"/>
    <s v="Fee Charge Waive Total Enquiry"/>
  </r>
  <r>
    <n v="71"/>
    <s v="EC0007"/>
    <s v="/api/v1.0.0/party/EC0007"/>
    <m/>
    <s v="ENQ.API.EC0007.1.0.0"/>
    <s v="TMBI.F0130.INT.RATE.ENQ"/>
    <s v="外幣活期/放款利率查詢"/>
    <m/>
    <m/>
    <x v="10"/>
    <x v="0"/>
    <s v="Foreign Deposit/Lending Interest Rate Enquiry"/>
  </r>
  <r>
    <n v="72"/>
    <s v="EC0008"/>
    <s v="/api/v1.0.0/party/EC0008"/>
    <m/>
    <s v="ENQ.API.EC0008.1.0.0"/>
    <s v="TMBI.G0041.REG.ACCT.ENQ"/>
    <s v="約轉帳號查詢"/>
    <m/>
    <m/>
    <x v="14"/>
    <x v="0"/>
    <s v="Designated Funds Transfer A/C Enquiry"/>
  </r>
  <r>
    <n v="73"/>
    <s v="EC0009"/>
    <s v="/api/v1.0.0/party/EC0009"/>
    <m/>
    <s v="ENQ.API.EC0009.1.0.0"/>
    <s v="TMB.EVT.LIST.ENQ"/>
    <s v="止扣明細查詢 "/>
    <m/>
    <m/>
    <x v="1"/>
    <x v="0"/>
    <s v="Special Revolving Loan Termination Event Detail Enquiry"/>
  </r>
  <r>
    <n v="74"/>
    <s v="EC0010"/>
    <s v="/api/v1.0.0/party/EC0010"/>
    <m/>
    <s v="ENQ.API.EC0010.1.0.0"/>
    <s v="TMB.AMT.QUOTA.ENQ"/>
    <s v="限額查詢"/>
    <m/>
    <m/>
    <x v="15"/>
    <x v="0"/>
    <s v="Transaction Limit Enquiry"/>
  </r>
  <r>
    <n v="75"/>
    <s v="ED0018"/>
    <s v="/api/v1.0.0/party/ED0018"/>
    <m/>
    <s v="ENQ.API.ED0018.1.0.0"/>
    <s v="TMB.TXN.REG.ACCT.EVT.CHK.ENQ"/>
    <s v="新增約定帳號帳號檢核查詢"/>
    <m/>
    <m/>
    <x v="7"/>
    <x v="0"/>
    <s v="Registered Account Status Check Enquir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A8513-0B96-4D4A-BD01-EEBE0AE15FAE}" name="樞紐分析表1" cacheId="1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rowHeaderCaption="Spec Date" colHeaderCaption="DEV/UT Complete">
  <location ref="A3:C22" firstHeaderRow="1" firstDataRow="2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">
        <item x="10"/>
        <item x="0"/>
        <item x="14"/>
        <item x="3"/>
        <item x="1"/>
        <item x="16"/>
        <item x="11"/>
        <item x="6"/>
        <item x="5"/>
        <item x="12"/>
        <item x="15"/>
        <item x="9"/>
        <item x="2"/>
        <item x="13"/>
        <item x="4"/>
        <item x="8"/>
        <item x="7"/>
        <item t="default"/>
      </items>
    </pivotField>
    <pivotField axis="axisCol" showAll="0">
      <items count="3">
        <item x="0"/>
        <item n="N" m="1" x="1"/>
        <item t="default"/>
      </items>
    </pivotField>
    <pivotField showAll="0"/>
  </pivotFields>
  <rowFields count="1">
    <field x="9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0"/>
  </colFields>
  <colItems count="2">
    <i>
      <x/>
    </i>
    <i t="grand">
      <x/>
    </i>
  </colItems>
  <dataFields count="1">
    <dataField name="計數 - No" fld="0" subtotal="count" baseField="9" baseItem="0"/>
  </dataFields>
  <formats count="17"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field="10" type="button" dataOnly="0" labelOnly="1" outline="0" axis="axisCol" fieldPosition="0"/>
    </format>
    <format dxfId="13">
      <pivotArea type="topRight" dataOnly="0" labelOnly="1" outline="0" fieldPosition="0"/>
    </format>
    <format dxfId="12">
      <pivotArea field="9" type="button" dataOnly="0" labelOnly="1" outline="0" axis="axisRow" fieldPosition="0"/>
    </format>
    <format dxfId="11">
      <pivotArea dataOnly="0" labelOnly="1" fieldPosition="0">
        <references count="1">
          <reference field="9" count="0"/>
        </references>
      </pivotArea>
    </format>
    <format dxfId="10">
      <pivotArea dataOnly="0" labelOnly="1" grandRow="1" outline="0" fieldPosition="0"/>
    </format>
    <format dxfId="9">
      <pivotArea dataOnly="0" labelOnly="1" fieldPosition="0">
        <references count="1">
          <reference field="10" count="0"/>
        </references>
      </pivotArea>
    </format>
    <format dxfId="8">
      <pivotArea dataOnly="0" labelOnly="1" grandCol="1" outline="0" fieldPosition="0"/>
    </format>
    <format dxfId="7">
      <pivotArea outline="0" collapsedLevelsAreSubtotals="1" fieldPosition="0">
        <references count="1">
          <reference field="10" count="0" selected="0"/>
        </references>
      </pivotArea>
    </format>
    <format dxfId="6">
      <pivotArea field="10" type="button" dataOnly="0" labelOnly="1" outline="0" axis="axisCol" fieldPosition="0"/>
    </format>
    <format dxfId="5">
      <pivotArea type="topRight" dataOnly="0" labelOnly="1" outline="0" fieldPosition="0"/>
    </format>
    <format dxfId="4">
      <pivotArea dataOnly="0" labelOnly="1" fieldPosition="0">
        <references count="1">
          <reference field="10" count="0"/>
        </references>
      </pivotArea>
    </format>
    <format dxfId="3">
      <pivotArea field="10" type="button" dataOnly="0" labelOnly="1" outline="0" axis="axisCol" fieldPosition="0"/>
    </format>
    <format dxfId="2">
      <pivotArea collapsedLevelsAreSubtotals="1" fieldPosition="0">
        <references count="1">
          <reference field="9" count="3">
            <x v="14"/>
            <x v="15"/>
            <x v="16"/>
          </reference>
        </references>
      </pivotArea>
    </format>
    <format dxfId="1">
      <pivotArea dataOnly="0" labelOnly="1" fieldPosition="0">
        <references count="1">
          <reference field="9" count="3">
            <x v="14"/>
            <x v="15"/>
            <x v="16"/>
          </reference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94C404-2190-45F3-B1D2-3E6C9AE3D81D}" name="表格1" displayName="表格1" ref="B2:M77" totalsRowShown="0">
  <autoFilter ref="B2:M77" xr:uid="{E9C41294-0081-42F4-A462-EA9EF4049A1D}"/>
  <sortState xmlns:xlrd2="http://schemas.microsoft.com/office/spreadsheetml/2017/richdata2" ref="B3:M76">
    <sortCondition ref="B2:B76"/>
  </sortState>
  <tableColumns count="12">
    <tableColumn id="1" xr3:uid="{4433D0EA-5D47-444C-B4AC-7A45B4B71CC9}" name="No" dataDxfId="0"/>
    <tableColumn id="2" xr3:uid="{DF4E5BD8-A464-47B3-9A64-4D8883D1A90D}" name="KEY"/>
    <tableColumn id="3" xr3:uid="{EB380A9F-3821-4EC0-9246-C3DA2EE1080B}" name="URL"/>
    <tableColumn id="4" xr3:uid="{3BD15A72-CD91-4FAE-AF58-3D2E3772C55E}" name="APPLICATION"/>
    <tableColumn id="5" xr3:uid="{44B1C33D-8424-4D5B-993A-E154E42AA28B}" name="VERSION/ENQUIRY"/>
    <tableColumn id="6" xr3:uid="{02895B58-35C6-408B-AAA3-3830F9BA33AE}" name="Original VERSION/ENQUIRY"/>
    <tableColumn id="7" xr3:uid="{D4242C16-8D8D-49AF-BAB2-4027925311DC}" name="API Desc"/>
    <tableColumn id="8" xr3:uid="{3FD23AC0-D37A-44C8-9A43-DE87C66DF221}" name="Channel"/>
    <tableColumn id="9" xr3:uid="{8DB62C3E-07EE-4CCC-ABA7-C25CDFDD22EF}" name="Applicant"/>
    <tableColumn id="10" xr3:uid="{08169239-496F-4E5C-B03F-FAA7CA02943A}" name="Spec Date"/>
    <tableColumn id="11" xr3:uid="{A13E073D-3CBD-48AE-AFAF-F8B61ED82E89}" name="Dev/UT Complete"/>
    <tableColumn id="12" xr3:uid="{A19DAE8E-78EE-41A4-B728-AE0C64C38E41}" name="API English Des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2D84-9966-48CE-AE83-69B0F4DC6A95}">
  <dimension ref="A2:E22"/>
  <sheetViews>
    <sheetView workbookViewId="0">
      <selection activeCell="B3" sqref="B3"/>
    </sheetView>
  </sheetViews>
  <sheetFormatPr defaultRowHeight="15" x14ac:dyDescent="0.25"/>
  <cols>
    <col min="1" max="1" width="14.28515625" style="1" bestFit="1" customWidth="1"/>
    <col min="2" max="2" width="16.28515625" style="4" bestFit="1" customWidth="1"/>
    <col min="3" max="3" width="6.28515625" style="4" bestFit="1" customWidth="1"/>
    <col min="4" max="4" width="6.28515625" style="1" bestFit="1" customWidth="1"/>
    <col min="5" max="5" width="20.7109375" style="1" bestFit="1" customWidth="1"/>
    <col min="6" max="16384" width="9.140625" style="1"/>
  </cols>
  <sheetData>
    <row r="2" spans="1:5" x14ac:dyDescent="0.25">
      <c r="A2" s="1" t="s">
        <v>364</v>
      </c>
      <c r="B2" s="35">
        <v>45113</v>
      </c>
    </row>
    <row r="3" spans="1:5" ht="30" x14ac:dyDescent="0.25">
      <c r="A3" s="31" t="s">
        <v>360</v>
      </c>
      <c r="B3" s="34" t="s">
        <v>362</v>
      </c>
      <c r="D3"/>
    </row>
    <row r="4" spans="1:5" ht="15.75" x14ac:dyDescent="0.25">
      <c r="A4" s="31" t="s">
        <v>361</v>
      </c>
      <c r="B4" s="4" t="s">
        <v>358</v>
      </c>
      <c r="C4" s="1" t="s">
        <v>359</v>
      </c>
      <c r="D4"/>
      <c r="E4" s="36" t="s">
        <v>380</v>
      </c>
    </row>
    <row r="5" spans="1:5" ht="15.75" x14ac:dyDescent="0.25">
      <c r="A5" s="9">
        <v>20220916</v>
      </c>
      <c r="B5" s="33">
        <v>5</v>
      </c>
      <c r="C5" s="32">
        <v>5</v>
      </c>
      <c r="D5"/>
    </row>
    <row r="6" spans="1:5" ht="15.75" x14ac:dyDescent="0.25">
      <c r="A6" s="9">
        <v>20220926</v>
      </c>
      <c r="B6" s="33">
        <v>13</v>
      </c>
      <c r="C6" s="32">
        <v>13</v>
      </c>
      <c r="D6"/>
    </row>
    <row r="7" spans="1:5" ht="15.75" x14ac:dyDescent="0.25">
      <c r="A7" s="9">
        <v>20220930</v>
      </c>
      <c r="B7" s="33">
        <v>13</v>
      </c>
      <c r="C7" s="32">
        <v>13</v>
      </c>
      <c r="D7"/>
    </row>
    <row r="8" spans="1:5" ht="15.75" x14ac:dyDescent="0.25">
      <c r="A8" s="9">
        <v>20221007</v>
      </c>
      <c r="B8" s="33">
        <v>15</v>
      </c>
      <c r="C8" s="32">
        <v>15</v>
      </c>
      <c r="D8"/>
    </row>
    <row r="9" spans="1:5" ht="15.75" x14ac:dyDescent="0.25">
      <c r="A9" s="9">
        <v>20221014</v>
      </c>
      <c r="B9" s="33">
        <v>8</v>
      </c>
      <c r="C9" s="32">
        <v>8</v>
      </c>
      <c r="D9"/>
    </row>
    <row r="10" spans="1:5" ht="15.75" x14ac:dyDescent="0.25">
      <c r="A10" s="9">
        <v>20221202</v>
      </c>
      <c r="B10" s="33">
        <v>1</v>
      </c>
      <c r="C10" s="32">
        <v>1</v>
      </c>
      <c r="D10"/>
    </row>
    <row r="11" spans="1:5" ht="15.75" x14ac:dyDescent="0.25">
      <c r="A11" s="9">
        <v>20221227</v>
      </c>
      <c r="B11" s="33">
        <v>1</v>
      </c>
      <c r="C11" s="32">
        <v>1</v>
      </c>
      <c r="D11"/>
    </row>
    <row r="12" spans="1:5" ht="15.75" x14ac:dyDescent="0.25">
      <c r="A12" s="9">
        <v>20230201</v>
      </c>
      <c r="B12" s="33">
        <v>2</v>
      </c>
      <c r="C12" s="32">
        <v>2</v>
      </c>
      <c r="D12"/>
    </row>
    <row r="13" spans="1:5" ht="15.75" x14ac:dyDescent="0.25">
      <c r="A13" s="9">
        <v>20230206</v>
      </c>
      <c r="B13" s="33">
        <v>1</v>
      </c>
      <c r="C13" s="32">
        <v>1</v>
      </c>
      <c r="D13"/>
    </row>
    <row r="14" spans="1:5" ht="15.75" x14ac:dyDescent="0.25">
      <c r="A14" s="9">
        <v>20230209</v>
      </c>
      <c r="B14" s="33">
        <v>1</v>
      </c>
      <c r="C14" s="32">
        <v>1</v>
      </c>
      <c r="D14"/>
    </row>
    <row r="15" spans="1:5" ht="15.75" x14ac:dyDescent="0.25">
      <c r="A15" s="9">
        <v>20230215</v>
      </c>
      <c r="B15" s="33">
        <v>3</v>
      </c>
      <c r="C15" s="32">
        <v>3</v>
      </c>
      <c r="D15"/>
    </row>
    <row r="16" spans="1:5" ht="15.75" x14ac:dyDescent="0.25">
      <c r="A16" s="9">
        <v>20230323</v>
      </c>
      <c r="B16" s="33">
        <v>3</v>
      </c>
      <c r="C16" s="32">
        <v>3</v>
      </c>
      <c r="D16"/>
    </row>
    <row r="17" spans="1:5" ht="15.75" x14ac:dyDescent="0.25">
      <c r="A17" s="9">
        <v>20230324</v>
      </c>
      <c r="B17" s="33">
        <v>2</v>
      </c>
      <c r="C17" s="32">
        <v>2</v>
      </c>
      <c r="D17"/>
    </row>
    <row r="18" spans="1:5" ht="15.75" x14ac:dyDescent="0.25">
      <c r="A18" s="9">
        <v>20230410</v>
      </c>
      <c r="B18" s="33">
        <v>2</v>
      </c>
      <c r="C18" s="32">
        <v>2</v>
      </c>
      <c r="D18"/>
    </row>
    <row r="19" spans="1:5" ht="15.75" x14ac:dyDescent="0.25">
      <c r="A19" s="9">
        <v>20230524</v>
      </c>
      <c r="B19" s="33">
        <v>1</v>
      </c>
      <c r="C19" s="32">
        <v>1</v>
      </c>
      <c r="D19"/>
    </row>
    <row r="20" spans="1:5" ht="15.75" x14ac:dyDescent="0.25">
      <c r="A20" s="9">
        <v>20230601</v>
      </c>
      <c r="B20" s="33">
        <v>2</v>
      </c>
      <c r="C20" s="32">
        <v>2</v>
      </c>
      <c r="D20"/>
    </row>
    <row r="21" spans="1:5" ht="15.75" x14ac:dyDescent="0.25">
      <c r="A21" s="9">
        <v>20230703</v>
      </c>
      <c r="B21" s="33">
        <v>2</v>
      </c>
      <c r="C21" s="32">
        <v>2</v>
      </c>
      <c r="D21"/>
    </row>
    <row r="22" spans="1:5" ht="15.75" x14ac:dyDescent="0.25">
      <c r="A22" s="9" t="s">
        <v>359</v>
      </c>
      <c r="B22" s="33">
        <v>75</v>
      </c>
      <c r="C22" s="32">
        <v>75</v>
      </c>
      <c r="D22"/>
      <c r="E22" s="30">
        <f>GETPIVOTDATA("No",$A$3,"Dev/UT Complete","Y")/GETPIVOTDATA("No",$A$3)</f>
        <v>1</v>
      </c>
    </row>
  </sheetData>
  <phoneticPr fontId="1" type="noConversion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435E-F392-45C9-AB9F-B8DDDC059AFE}">
  <dimension ref="B2:P84"/>
  <sheetViews>
    <sheetView tabSelected="1" zoomScale="85" zoomScaleNormal="85" workbookViewId="0">
      <pane xSplit="8" ySplit="2" topLeftCell="K21" activePane="bottomRight" state="frozen"/>
      <selection pane="topRight" activeCell="I1" sqref="I1"/>
      <selection pane="bottomLeft" activeCell="A3" sqref="A3"/>
      <selection pane="bottomRight" activeCell="M48" sqref="B48:M48"/>
    </sheetView>
  </sheetViews>
  <sheetFormatPr defaultColWidth="9.140625" defaultRowHeight="15" x14ac:dyDescent="0.25"/>
  <cols>
    <col min="1" max="1" width="3.85546875" style="1" customWidth="1"/>
    <col min="2" max="2" width="6.28515625" style="4" customWidth="1"/>
    <col min="3" max="3" width="9.85546875" style="1" bestFit="1" customWidth="1"/>
    <col min="4" max="4" width="27.28515625" style="1" customWidth="1"/>
    <col min="5" max="5" width="3.7109375" style="1" hidden="1" customWidth="1"/>
    <col min="6" max="6" width="44.5703125" style="1" customWidth="1"/>
    <col min="7" max="7" width="36.5703125" style="1" customWidth="1"/>
    <col min="8" max="8" width="26.28515625" style="1" customWidth="1"/>
    <col min="9" max="9" width="11.42578125" style="1" hidden="1" customWidth="1"/>
    <col min="10" max="10" width="12.7109375" style="1" hidden="1" customWidth="1"/>
    <col min="11" max="11" width="15.42578125" style="9" customWidth="1"/>
    <col min="12" max="12" width="20.7109375" style="4" customWidth="1"/>
    <col min="13" max="13" width="89" style="9" bestFit="1" customWidth="1"/>
    <col min="14" max="16384" width="9.140625" style="1"/>
  </cols>
  <sheetData>
    <row r="2" spans="2:13" x14ac:dyDescent="0.25">
      <c r="B2" s="16" t="s">
        <v>139</v>
      </c>
      <c r="C2" s="17" t="s">
        <v>2</v>
      </c>
      <c r="D2" s="18" t="s">
        <v>3</v>
      </c>
      <c r="E2" s="18" t="s">
        <v>1</v>
      </c>
      <c r="F2" s="19" t="s">
        <v>210</v>
      </c>
      <c r="G2" s="18" t="s">
        <v>211</v>
      </c>
      <c r="H2" s="18" t="s">
        <v>136</v>
      </c>
      <c r="I2" s="18" t="s">
        <v>137</v>
      </c>
      <c r="J2" s="18" t="s">
        <v>138</v>
      </c>
      <c r="K2" s="28" t="s">
        <v>354</v>
      </c>
      <c r="L2" s="29" t="s">
        <v>355</v>
      </c>
      <c r="M2" s="20" t="s">
        <v>177</v>
      </c>
    </row>
    <row r="3" spans="2:13" x14ac:dyDescent="0.25">
      <c r="B3" s="4">
        <v>1</v>
      </c>
      <c r="C3" s="5" t="s">
        <v>97</v>
      </c>
      <c r="D3" s="2" t="s">
        <v>143</v>
      </c>
      <c r="E3" s="2" t="s">
        <v>87</v>
      </c>
      <c r="F3" s="2" t="s">
        <v>144</v>
      </c>
      <c r="G3" s="2" t="s">
        <v>70</v>
      </c>
      <c r="H3" s="2" t="s">
        <v>129</v>
      </c>
      <c r="I3" s="2"/>
      <c r="J3" s="2"/>
      <c r="K3" s="6">
        <v>20220926</v>
      </c>
      <c r="L3" s="23" t="s">
        <v>363</v>
      </c>
      <c r="M3" s="10" t="s">
        <v>178</v>
      </c>
    </row>
    <row r="4" spans="2:13" x14ac:dyDescent="0.25">
      <c r="B4" s="4">
        <v>2</v>
      </c>
      <c r="C4" s="7" t="s">
        <v>98</v>
      </c>
      <c r="D4" s="3" t="s">
        <v>145</v>
      </c>
      <c r="E4" s="3" t="s">
        <v>87</v>
      </c>
      <c r="F4" s="3" t="s">
        <v>146</v>
      </c>
      <c r="G4" s="3" t="s">
        <v>71</v>
      </c>
      <c r="H4" s="3" t="s">
        <v>130</v>
      </c>
      <c r="I4" s="3"/>
      <c r="J4" s="3"/>
      <c r="K4" s="11">
        <v>20221014</v>
      </c>
      <c r="L4" s="4" t="s">
        <v>363</v>
      </c>
      <c r="M4" s="11" t="s">
        <v>179</v>
      </c>
    </row>
    <row r="5" spans="2:13" x14ac:dyDescent="0.25">
      <c r="B5" s="4">
        <v>3</v>
      </c>
      <c r="C5" s="5" t="s">
        <v>99</v>
      </c>
      <c r="D5" s="2" t="s">
        <v>147</v>
      </c>
      <c r="E5" s="2" t="s">
        <v>87</v>
      </c>
      <c r="F5" s="2" t="s">
        <v>148</v>
      </c>
      <c r="G5" s="2" t="s">
        <v>72</v>
      </c>
      <c r="H5" s="2" t="s">
        <v>131</v>
      </c>
      <c r="I5" s="2"/>
      <c r="J5" s="2"/>
      <c r="K5" s="6">
        <v>20230324</v>
      </c>
      <c r="L5" s="23" t="s">
        <v>353</v>
      </c>
      <c r="M5" s="10" t="s">
        <v>180</v>
      </c>
    </row>
    <row r="6" spans="2:13" x14ac:dyDescent="0.25">
      <c r="B6" s="4">
        <v>4</v>
      </c>
      <c r="C6" s="7" t="s">
        <v>100</v>
      </c>
      <c r="D6" s="3" t="s">
        <v>149</v>
      </c>
      <c r="E6" s="3" t="s">
        <v>88</v>
      </c>
      <c r="F6" s="3" t="s">
        <v>150</v>
      </c>
      <c r="G6" s="3" t="s">
        <v>73</v>
      </c>
      <c r="H6" s="3" t="s">
        <v>181</v>
      </c>
      <c r="I6" s="3"/>
      <c r="J6" s="3"/>
      <c r="K6" s="11">
        <v>20221007</v>
      </c>
      <c r="L6" s="4" t="s">
        <v>353</v>
      </c>
      <c r="M6" s="11" t="s">
        <v>182</v>
      </c>
    </row>
    <row r="7" spans="2:13" x14ac:dyDescent="0.25">
      <c r="B7" s="4">
        <v>5</v>
      </c>
      <c r="C7" s="5" t="s">
        <v>101</v>
      </c>
      <c r="D7" s="2" t="s">
        <v>151</v>
      </c>
      <c r="E7" s="2" t="s">
        <v>88</v>
      </c>
      <c r="F7" s="2" t="s">
        <v>152</v>
      </c>
      <c r="G7" s="2" t="s">
        <v>74</v>
      </c>
      <c r="H7" s="2" t="s">
        <v>132</v>
      </c>
      <c r="I7" s="2"/>
      <c r="J7" s="2"/>
      <c r="K7" s="6">
        <v>20230524</v>
      </c>
      <c r="L7" s="23" t="s">
        <v>353</v>
      </c>
      <c r="M7" s="10" t="s">
        <v>183</v>
      </c>
    </row>
    <row r="8" spans="2:13" x14ac:dyDescent="0.25">
      <c r="B8" s="4">
        <v>6</v>
      </c>
      <c r="C8" s="7" t="s">
        <v>102</v>
      </c>
      <c r="D8" s="3" t="s">
        <v>153</v>
      </c>
      <c r="E8" s="3" t="s">
        <v>89</v>
      </c>
      <c r="F8" s="3" t="s">
        <v>154</v>
      </c>
      <c r="G8" s="3" t="s">
        <v>75</v>
      </c>
      <c r="H8" s="3" t="s">
        <v>133</v>
      </c>
      <c r="I8" s="3"/>
      <c r="J8" s="3"/>
      <c r="K8" s="11">
        <v>20230206</v>
      </c>
      <c r="L8" s="4" t="s">
        <v>353</v>
      </c>
      <c r="M8" s="11" t="s">
        <v>184</v>
      </c>
    </row>
    <row r="9" spans="2:13" x14ac:dyDescent="0.25">
      <c r="B9" s="4">
        <v>7</v>
      </c>
      <c r="C9" s="5" t="s">
        <v>103</v>
      </c>
      <c r="D9" s="2" t="s">
        <v>155</v>
      </c>
      <c r="E9" s="2" t="s">
        <v>96</v>
      </c>
      <c r="F9" s="2" t="s">
        <v>156</v>
      </c>
      <c r="G9" s="2" t="s">
        <v>85</v>
      </c>
      <c r="H9" s="2" t="s">
        <v>135</v>
      </c>
      <c r="I9" s="2"/>
      <c r="J9" s="2"/>
      <c r="K9" s="6">
        <v>20230201</v>
      </c>
      <c r="L9" s="23" t="s">
        <v>353</v>
      </c>
      <c r="M9" s="10" t="s">
        <v>185</v>
      </c>
    </row>
    <row r="10" spans="2:13" x14ac:dyDescent="0.25">
      <c r="B10" s="4">
        <v>8</v>
      </c>
      <c r="C10" s="7" t="s">
        <v>104</v>
      </c>
      <c r="D10" s="3" t="s">
        <v>157</v>
      </c>
      <c r="E10" s="3" t="s">
        <v>90</v>
      </c>
      <c r="F10" s="3" t="s">
        <v>158</v>
      </c>
      <c r="G10" s="3" t="s">
        <v>76</v>
      </c>
      <c r="H10" s="3" t="s">
        <v>159</v>
      </c>
      <c r="I10" s="3"/>
      <c r="J10" s="3"/>
      <c r="K10" s="11">
        <v>20220926</v>
      </c>
      <c r="L10" s="4" t="s">
        <v>353</v>
      </c>
      <c r="M10" s="11" t="s">
        <v>186</v>
      </c>
    </row>
    <row r="11" spans="2:13" x14ac:dyDescent="0.25">
      <c r="B11" s="4">
        <v>9</v>
      </c>
      <c r="C11" s="5" t="s">
        <v>104</v>
      </c>
      <c r="D11" s="2" t="s">
        <v>157</v>
      </c>
      <c r="E11" s="2" t="s">
        <v>90</v>
      </c>
      <c r="F11" s="2" t="s">
        <v>158</v>
      </c>
      <c r="G11" s="2" t="s">
        <v>77</v>
      </c>
      <c r="H11" s="2" t="s">
        <v>159</v>
      </c>
      <c r="I11" s="2"/>
      <c r="J11" s="2"/>
      <c r="K11" s="6">
        <v>20220926</v>
      </c>
      <c r="L11" s="23" t="s">
        <v>353</v>
      </c>
      <c r="M11" s="10" t="s">
        <v>186</v>
      </c>
    </row>
    <row r="12" spans="2:13" x14ac:dyDescent="0.25">
      <c r="B12" s="4">
        <v>10</v>
      </c>
      <c r="C12" s="7" t="s">
        <v>105</v>
      </c>
      <c r="D12" s="3" t="s">
        <v>160</v>
      </c>
      <c r="E12" s="3" t="s">
        <v>91</v>
      </c>
      <c r="F12" s="3" t="s">
        <v>161</v>
      </c>
      <c r="G12" s="3" t="s">
        <v>78</v>
      </c>
      <c r="H12" s="3" t="s">
        <v>266</v>
      </c>
      <c r="I12" s="3"/>
      <c r="J12" s="3"/>
      <c r="K12" s="11">
        <v>20230324</v>
      </c>
      <c r="L12" s="4" t="s">
        <v>353</v>
      </c>
      <c r="M12" s="11" t="s">
        <v>187</v>
      </c>
    </row>
    <row r="13" spans="2:13" x14ac:dyDescent="0.25">
      <c r="B13" s="4">
        <v>11</v>
      </c>
      <c r="C13" s="5" t="s">
        <v>106</v>
      </c>
      <c r="D13" s="2" t="s">
        <v>162</v>
      </c>
      <c r="E13" s="2" t="s">
        <v>91</v>
      </c>
      <c r="F13" s="2" t="s">
        <v>163</v>
      </c>
      <c r="G13" s="2" t="s">
        <v>79</v>
      </c>
      <c r="H13" s="2" t="s">
        <v>164</v>
      </c>
      <c r="I13" s="2"/>
      <c r="J13" s="2"/>
      <c r="K13" s="6">
        <v>20220926</v>
      </c>
      <c r="L13" s="23" t="s">
        <v>353</v>
      </c>
      <c r="M13" s="10" t="s">
        <v>188</v>
      </c>
    </row>
    <row r="14" spans="2:13" x14ac:dyDescent="0.25">
      <c r="B14" s="4">
        <v>12</v>
      </c>
      <c r="C14" s="7" t="s">
        <v>107</v>
      </c>
      <c r="D14" s="3" t="s">
        <v>165</v>
      </c>
      <c r="E14" s="3" t="s">
        <v>91</v>
      </c>
      <c r="F14" s="3" t="s">
        <v>166</v>
      </c>
      <c r="G14" s="3" t="s">
        <v>80</v>
      </c>
      <c r="H14" s="3" t="s">
        <v>167</v>
      </c>
      <c r="I14" s="3"/>
      <c r="J14" s="3"/>
      <c r="K14" s="11">
        <v>20221007</v>
      </c>
      <c r="L14" s="4" t="s">
        <v>353</v>
      </c>
      <c r="M14" s="11" t="s">
        <v>189</v>
      </c>
    </row>
    <row r="15" spans="2:13" x14ac:dyDescent="0.25">
      <c r="B15" s="4">
        <v>13</v>
      </c>
      <c r="C15" s="5" t="s">
        <v>108</v>
      </c>
      <c r="D15" s="2" t="s">
        <v>168</v>
      </c>
      <c r="E15" s="2" t="s">
        <v>92</v>
      </c>
      <c r="F15" s="2" t="s">
        <v>169</v>
      </c>
      <c r="G15" s="2" t="s">
        <v>81</v>
      </c>
      <c r="H15" s="2" t="s">
        <v>170</v>
      </c>
      <c r="I15" s="2"/>
      <c r="J15" s="2"/>
      <c r="K15" s="6">
        <v>20220926</v>
      </c>
      <c r="L15" s="23" t="s">
        <v>353</v>
      </c>
      <c r="M15" s="10" t="s">
        <v>277</v>
      </c>
    </row>
    <row r="16" spans="2:13" x14ac:dyDescent="0.25">
      <c r="B16" s="4">
        <v>14</v>
      </c>
      <c r="C16" s="7" t="s">
        <v>109</v>
      </c>
      <c r="D16" s="3" t="s">
        <v>171</v>
      </c>
      <c r="E16" s="3" t="s">
        <v>93</v>
      </c>
      <c r="F16" s="3" t="s">
        <v>172</v>
      </c>
      <c r="G16" s="3" t="s">
        <v>82</v>
      </c>
      <c r="H16" s="3" t="s">
        <v>241</v>
      </c>
      <c r="I16" s="3"/>
      <c r="J16" s="3"/>
      <c r="K16" s="11">
        <v>20221007</v>
      </c>
      <c r="L16" s="4" t="s">
        <v>353</v>
      </c>
      <c r="M16" s="11" t="s">
        <v>190</v>
      </c>
    </row>
    <row r="17" spans="2:13" x14ac:dyDescent="0.25">
      <c r="B17" s="4">
        <v>15</v>
      </c>
      <c r="C17" s="5" t="s">
        <v>110</v>
      </c>
      <c r="D17" s="2" t="s">
        <v>173</v>
      </c>
      <c r="E17" s="2" t="s">
        <v>94</v>
      </c>
      <c r="F17" s="2" t="s">
        <v>174</v>
      </c>
      <c r="G17" s="2" t="s">
        <v>83</v>
      </c>
      <c r="H17" s="2" t="s">
        <v>134</v>
      </c>
      <c r="I17" s="2"/>
      <c r="J17" s="2"/>
      <c r="K17" s="6">
        <v>20230703</v>
      </c>
      <c r="L17" s="23" t="s">
        <v>353</v>
      </c>
      <c r="M17" s="10" t="s">
        <v>278</v>
      </c>
    </row>
    <row r="18" spans="2:13" x14ac:dyDescent="0.25">
      <c r="B18" s="4">
        <v>16</v>
      </c>
      <c r="C18" s="7" t="s">
        <v>111</v>
      </c>
      <c r="D18" s="3" t="s">
        <v>175</v>
      </c>
      <c r="E18" s="3" t="s">
        <v>95</v>
      </c>
      <c r="F18" s="3" t="s">
        <v>176</v>
      </c>
      <c r="G18" s="3" t="s">
        <v>84</v>
      </c>
      <c r="H18" s="3" t="s">
        <v>267</v>
      </c>
      <c r="I18" s="3"/>
      <c r="J18" s="3"/>
      <c r="K18" s="11">
        <v>20221007</v>
      </c>
      <c r="L18" s="4" t="s">
        <v>353</v>
      </c>
      <c r="M18" s="11" t="s">
        <v>191</v>
      </c>
    </row>
    <row r="19" spans="2:13" x14ac:dyDescent="0.25">
      <c r="B19" s="4">
        <v>17</v>
      </c>
      <c r="C19" s="5" t="s">
        <v>319</v>
      </c>
      <c r="D19" s="2" t="s">
        <v>322</v>
      </c>
      <c r="E19" s="2" t="s">
        <v>330</v>
      </c>
      <c r="F19" s="2" t="s">
        <v>331</v>
      </c>
      <c r="G19" s="2"/>
      <c r="H19" s="2" t="s">
        <v>371</v>
      </c>
      <c r="I19" s="2"/>
      <c r="J19" s="2"/>
      <c r="K19" s="6">
        <v>20230601</v>
      </c>
      <c r="L19" s="23" t="s">
        <v>353</v>
      </c>
      <c r="M19" s="10" t="s">
        <v>337</v>
      </c>
    </row>
    <row r="20" spans="2:13" x14ac:dyDescent="0.25">
      <c r="B20" s="4">
        <v>18</v>
      </c>
      <c r="C20" s="37" t="s">
        <v>320</v>
      </c>
      <c r="D20" s="38" t="s">
        <v>323</v>
      </c>
      <c r="E20" s="38" t="s">
        <v>332</v>
      </c>
      <c r="F20" s="38" t="s">
        <v>333</v>
      </c>
      <c r="G20" s="38"/>
      <c r="H20" s="38" t="s">
        <v>334</v>
      </c>
      <c r="I20" s="38"/>
      <c r="J20" s="38"/>
      <c r="K20" s="39">
        <v>20230323</v>
      </c>
      <c r="L20" s="40" t="s">
        <v>353</v>
      </c>
      <c r="M20" s="41" t="s">
        <v>338</v>
      </c>
    </row>
    <row r="21" spans="2:13" x14ac:dyDescent="0.25">
      <c r="B21" s="4">
        <v>19</v>
      </c>
      <c r="C21" s="7" t="s">
        <v>321</v>
      </c>
      <c r="D21" s="3" t="s">
        <v>324</v>
      </c>
      <c r="E21" s="3" t="s">
        <v>332</v>
      </c>
      <c r="F21" s="3" t="s">
        <v>335</v>
      </c>
      <c r="G21" s="3"/>
      <c r="H21" s="3" t="s">
        <v>336</v>
      </c>
      <c r="I21" s="3"/>
      <c r="J21" s="3"/>
      <c r="K21" s="11">
        <v>20230323</v>
      </c>
      <c r="L21" s="4" t="s">
        <v>353</v>
      </c>
      <c r="M21" s="11" t="s">
        <v>339</v>
      </c>
    </row>
    <row r="22" spans="2:13" x14ac:dyDescent="0.25">
      <c r="B22" s="4">
        <v>20</v>
      </c>
      <c r="C22" s="7" t="s">
        <v>113</v>
      </c>
      <c r="D22" s="3" t="str">
        <f t="shared" ref="D22:D46" si="0">"/api/v1.0.0/party/"&amp;C22</f>
        <v>/api/v1.0.0/party/IL0001</v>
      </c>
      <c r="E22" s="3" t="s">
        <v>117</v>
      </c>
      <c r="F22" s="3" t="str">
        <f>E22&amp;",EB.API."&amp;C22&amp;".1.0.0"</f>
        <v>TMB.LN.EVENTS,EB.API.IL0001.1.0.0</v>
      </c>
      <c r="G22" s="3" t="s">
        <v>115</v>
      </c>
      <c r="H22" s="3" t="s">
        <v>372</v>
      </c>
      <c r="I22" s="3"/>
      <c r="J22" s="3"/>
      <c r="K22" s="11">
        <v>20220916</v>
      </c>
      <c r="L22" s="4" t="s">
        <v>353</v>
      </c>
      <c r="M22" s="10" t="s">
        <v>192</v>
      </c>
    </row>
    <row r="23" spans="2:13" x14ac:dyDescent="0.25">
      <c r="B23" s="4">
        <v>21</v>
      </c>
      <c r="C23" s="7" t="s">
        <v>114</v>
      </c>
      <c r="D23" s="3" t="str">
        <f t="shared" si="0"/>
        <v>/api/v1.0.0/party/IL0002</v>
      </c>
      <c r="E23" s="3" t="s">
        <v>116</v>
      </c>
      <c r="F23" s="3" t="str">
        <f>E23&amp;",EB.API."&amp;C23&amp;".1.0.0"</f>
        <v>TMB.LN.PROJECT.DATA,EB.API.IL0002.1.0.0</v>
      </c>
      <c r="G23" s="3" t="s">
        <v>112</v>
      </c>
      <c r="H23" s="3" t="s">
        <v>269</v>
      </c>
      <c r="I23" s="3"/>
      <c r="J23" s="3"/>
      <c r="K23" s="11">
        <v>20221014</v>
      </c>
      <c r="L23" s="4" t="s">
        <v>353</v>
      </c>
      <c r="M23" s="11" t="s">
        <v>212</v>
      </c>
    </row>
    <row r="24" spans="2:13" x14ac:dyDescent="0.25">
      <c r="B24" s="4">
        <v>22</v>
      </c>
      <c r="C24" s="7" t="s">
        <v>242</v>
      </c>
      <c r="D24" s="3" t="str">
        <f t="shared" si="0"/>
        <v>/api/v1.0.0/party/IL0003</v>
      </c>
      <c r="E24" s="3" t="s">
        <v>243</v>
      </c>
      <c r="F24" s="3" t="str">
        <f>E24&amp;",EB.API."&amp;C24&amp;".1.0.0"</f>
        <v>FUNDS.TRANSFER,EB.API.IL0003.1.0.0</v>
      </c>
      <c r="G24" s="3" t="s">
        <v>244</v>
      </c>
      <c r="H24" s="3" t="s">
        <v>245</v>
      </c>
      <c r="I24" s="27"/>
      <c r="J24" s="27"/>
      <c r="K24" s="11">
        <v>20221014</v>
      </c>
      <c r="L24" s="4" t="s">
        <v>358</v>
      </c>
      <c r="M24" s="1" t="s">
        <v>275</v>
      </c>
    </row>
    <row r="25" spans="2:13" x14ac:dyDescent="0.25">
      <c r="B25" s="4">
        <v>23</v>
      </c>
      <c r="C25" s="5" t="s">
        <v>246</v>
      </c>
      <c r="D25" s="2" t="str">
        <f t="shared" si="0"/>
        <v>/api/v1.0.0/party/IL0004</v>
      </c>
      <c r="E25" s="2" t="s">
        <v>247</v>
      </c>
      <c r="F25" s="2" t="str">
        <f>E25&amp;",EB.API."&amp;C25&amp;".1.0.0"</f>
        <v>LIMIT,EB.API.IL0004.1.0.0</v>
      </c>
      <c r="G25" s="2" t="s">
        <v>248</v>
      </c>
      <c r="H25" s="2" t="s">
        <v>261</v>
      </c>
      <c r="I25" s="27"/>
      <c r="J25" s="27"/>
      <c r="K25" s="11">
        <v>20221014</v>
      </c>
      <c r="L25" s="4" t="s">
        <v>358</v>
      </c>
      <c r="M25" s="9" t="s">
        <v>274</v>
      </c>
    </row>
    <row r="26" spans="2:13" x14ac:dyDescent="0.25">
      <c r="B26" s="4">
        <v>24</v>
      </c>
      <c r="C26" s="37" t="s">
        <v>118</v>
      </c>
      <c r="D26" s="38" t="str">
        <f t="shared" si="0"/>
        <v>/api/v1.0.0/party/IF0001</v>
      </c>
      <c r="E26" s="38" t="s">
        <v>89</v>
      </c>
      <c r="F26" s="38" t="str">
        <f>E26&amp;",EB.API."&amp;C26&amp;".1.0.0"</f>
        <v>FUNDS.TRANSFER,EB.API.IF0001.1.0.0</v>
      </c>
      <c r="G26" s="38" t="s">
        <v>121</v>
      </c>
      <c r="H26" s="38" t="s">
        <v>140</v>
      </c>
      <c r="I26" s="38"/>
      <c r="J26" s="38"/>
      <c r="K26" s="39">
        <v>20221007</v>
      </c>
      <c r="L26" s="40" t="s">
        <v>353</v>
      </c>
      <c r="M26" s="41" t="s">
        <v>230</v>
      </c>
    </row>
    <row r="27" spans="2:13" x14ac:dyDescent="0.25">
      <c r="B27" s="4">
        <v>25</v>
      </c>
      <c r="C27" s="5" t="s">
        <v>308</v>
      </c>
      <c r="D27" s="2" t="str">
        <f t="shared" si="0"/>
        <v>/api/v1.0.0/party/IF0002</v>
      </c>
      <c r="E27" s="2" t="s">
        <v>309</v>
      </c>
      <c r="F27" s="2" t="s">
        <v>310</v>
      </c>
      <c r="G27" s="2" t="s">
        <v>309</v>
      </c>
      <c r="H27" s="2" t="s">
        <v>311</v>
      </c>
      <c r="I27" s="2"/>
      <c r="J27" s="2"/>
      <c r="K27" s="6">
        <v>20221227</v>
      </c>
      <c r="L27" s="23" t="s">
        <v>353</v>
      </c>
      <c r="M27" s="10" t="s">
        <v>312</v>
      </c>
    </row>
    <row r="28" spans="2:13" x14ac:dyDescent="0.25">
      <c r="B28" s="4">
        <v>26</v>
      </c>
      <c r="C28" s="7" t="s">
        <v>0</v>
      </c>
      <c r="D28" s="3" t="str">
        <f t="shared" si="0"/>
        <v>/api/v1.0.0/party/IC0001</v>
      </c>
      <c r="E28" s="3" t="s">
        <v>86</v>
      </c>
      <c r="F28" s="3" t="str">
        <f>E28&amp;",EB.API."&amp;C28&amp;".1.0.0"</f>
        <v>CUSTOMER,EB.API.IC0001.1.0.0</v>
      </c>
      <c r="G28" s="3" t="s">
        <v>122</v>
      </c>
      <c r="H28" s="3" t="s">
        <v>379</v>
      </c>
      <c r="I28" s="3"/>
      <c r="J28" s="3"/>
      <c r="K28" s="11">
        <v>20230209</v>
      </c>
      <c r="L28" s="4" t="s">
        <v>353</v>
      </c>
      <c r="M28" s="11" t="s">
        <v>194</v>
      </c>
    </row>
    <row r="29" spans="2:13" x14ac:dyDescent="0.25">
      <c r="B29" s="4">
        <v>27</v>
      </c>
      <c r="C29" s="5" t="s">
        <v>356</v>
      </c>
      <c r="D29" s="2" t="str">
        <f t="shared" si="0"/>
        <v>/api/v1.0.0/party/IC0002</v>
      </c>
      <c r="E29" s="2" t="s">
        <v>86</v>
      </c>
      <c r="F29" s="2" t="str">
        <f>E29&amp;",EB.API."&amp;C29&amp;".1.0.0"</f>
        <v>CUSTOMER,EB.API.IC0002.1.0.0</v>
      </c>
      <c r="G29" s="2" t="s">
        <v>123</v>
      </c>
      <c r="H29" s="2" t="s">
        <v>141</v>
      </c>
      <c r="I29" s="2"/>
      <c r="J29" s="2"/>
      <c r="K29" s="6">
        <v>20230410</v>
      </c>
      <c r="L29" s="23" t="s">
        <v>353</v>
      </c>
      <c r="M29" s="10" t="s">
        <v>357</v>
      </c>
    </row>
    <row r="30" spans="2:13" x14ac:dyDescent="0.25">
      <c r="B30" s="4">
        <v>28</v>
      </c>
      <c r="C30" s="7" t="s">
        <v>126</v>
      </c>
      <c r="D30" s="3" t="str">
        <f t="shared" si="0"/>
        <v>/api/v1.0.0/party/IC0003</v>
      </c>
      <c r="E30" s="3" t="s">
        <v>127</v>
      </c>
      <c r="F30" s="3" t="str">
        <f>E30&amp;",EB.API."&amp;C30&amp;".1.0.0"</f>
        <v>TMB.CUS.FOREIGN.TAX,EB.API.IC0003.1.0.0</v>
      </c>
      <c r="G30" s="3" t="s">
        <v>124</v>
      </c>
      <c r="H30" s="3" t="s">
        <v>268</v>
      </c>
      <c r="I30" s="3"/>
      <c r="J30" s="3"/>
      <c r="K30" s="8">
        <v>20220916</v>
      </c>
      <c r="L30" s="24" t="s">
        <v>358</v>
      </c>
      <c r="M30" s="11" t="s">
        <v>195</v>
      </c>
    </row>
    <row r="31" spans="2:13" x14ac:dyDescent="0.25">
      <c r="B31" s="4">
        <v>29</v>
      </c>
      <c r="C31" s="5" t="s">
        <v>373</v>
      </c>
      <c r="D31" s="2" t="str">
        <f t="shared" si="0"/>
        <v>/api/v1.0.0/party/IC0004</v>
      </c>
      <c r="E31" s="2" t="s">
        <v>128</v>
      </c>
      <c r="F31" s="2" t="str">
        <f>E31&amp;",EB.API."&amp;C31&amp;".1.0.0"</f>
        <v>TMB.TXN.ACCT.CRG.CONF,EB.API.IC0004.1.0.0</v>
      </c>
      <c r="G31" s="2" t="s">
        <v>125</v>
      </c>
      <c r="H31" s="2" t="s">
        <v>142</v>
      </c>
      <c r="I31" s="2"/>
      <c r="J31" s="2"/>
      <c r="K31" s="6">
        <v>20220930</v>
      </c>
      <c r="L31" s="23" t="s">
        <v>353</v>
      </c>
      <c r="M31" s="10" t="s">
        <v>196</v>
      </c>
    </row>
    <row r="32" spans="2:13" x14ac:dyDescent="0.25">
      <c r="B32" s="4">
        <v>30</v>
      </c>
      <c r="C32" s="7" t="s">
        <v>4</v>
      </c>
      <c r="D32" s="3" t="str">
        <f t="shared" si="0"/>
        <v>/api/v1.0.0/party/ED0001</v>
      </c>
      <c r="E32" s="3"/>
      <c r="F32" s="3" t="str">
        <f t="shared" ref="F32:F46" si="1">"ENQ.API."&amp;C32&amp;".1.0.0"</f>
        <v>ENQ.API.ED0001.1.0.0</v>
      </c>
      <c r="G32" s="3" t="s">
        <v>17</v>
      </c>
      <c r="H32" s="3" t="s">
        <v>283</v>
      </c>
      <c r="I32" s="3"/>
      <c r="J32" s="3"/>
      <c r="K32" s="8">
        <v>20220926</v>
      </c>
      <c r="L32" s="24" t="s">
        <v>358</v>
      </c>
      <c r="M32" s="11" t="s">
        <v>197</v>
      </c>
    </row>
    <row r="33" spans="2:13" x14ac:dyDescent="0.25">
      <c r="B33" s="4">
        <v>31</v>
      </c>
      <c r="C33" s="5" t="s">
        <v>5</v>
      </c>
      <c r="D33" s="2" t="str">
        <f t="shared" si="0"/>
        <v>/api/v1.0.0/party/ED0002</v>
      </c>
      <c r="E33" s="2"/>
      <c r="F33" s="2" t="str">
        <f t="shared" si="1"/>
        <v>ENQ.API.ED0002.1.0.0</v>
      </c>
      <c r="G33" s="2" t="s">
        <v>18</v>
      </c>
      <c r="H33" s="2" t="s">
        <v>284</v>
      </c>
      <c r="I33" s="2"/>
      <c r="J33" s="2"/>
      <c r="K33" s="6">
        <v>20220926</v>
      </c>
      <c r="L33" s="23" t="s">
        <v>358</v>
      </c>
      <c r="M33" s="10" t="s">
        <v>198</v>
      </c>
    </row>
    <row r="34" spans="2:13" x14ac:dyDescent="0.25">
      <c r="B34" s="4">
        <v>32</v>
      </c>
      <c r="C34" s="7" t="s">
        <v>6</v>
      </c>
      <c r="D34" s="3" t="str">
        <f t="shared" si="0"/>
        <v>/api/v1.0.0/party/ED0003</v>
      </c>
      <c r="E34" s="3"/>
      <c r="F34" s="3" t="str">
        <f t="shared" si="1"/>
        <v>ENQ.API.ED0003.1.0.0</v>
      </c>
      <c r="G34" s="3" t="s">
        <v>19</v>
      </c>
      <c r="H34" s="3" t="s">
        <v>285</v>
      </c>
      <c r="I34" s="3"/>
      <c r="J34" s="3"/>
      <c r="K34" s="8">
        <v>20220930</v>
      </c>
      <c r="L34" s="24" t="s">
        <v>358</v>
      </c>
      <c r="M34" s="11" t="s">
        <v>199</v>
      </c>
    </row>
    <row r="35" spans="2:13" x14ac:dyDescent="0.25">
      <c r="B35" s="4">
        <v>33</v>
      </c>
      <c r="C35" s="5" t="s">
        <v>317</v>
      </c>
      <c r="D35" s="2" t="str">
        <f t="shared" si="0"/>
        <v>/api/v1.0.0/party/ED0004</v>
      </c>
      <c r="E35" s="2" t="s">
        <v>314</v>
      </c>
      <c r="F35" s="2" t="str">
        <f t="shared" si="1"/>
        <v>ENQ.API.ED0004.1.0.0</v>
      </c>
      <c r="G35" s="2" t="s">
        <v>20</v>
      </c>
      <c r="H35" s="2" t="s">
        <v>325</v>
      </c>
      <c r="I35" s="2"/>
      <c r="J35" s="2"/>
      <c r="K35" s="6">
        <v>20230601</v>
      </c>
      <c r="L35" s="23" t="s">
        <v>353</v>
      </c>
      <c r="M35" s="10" t="s">
        <v>318</v>
      </c>
    </row>
    <row r="36" spans="2:13" x14ac:dyDescent="0.25">
      <c r="B36" s="4">
        <v>34</v>
      </c>
      <c r="C36" s="7" t="s">
        <v>7</v>
      </c>
      <c r="D36" s="3" t="str">
        <f t="shared" si="0"/>
        <v>/api/v1.0.0/party/ED0005</v>
      </c>
      <c r="E36" s="3"/>
      <c r="F36" s="3" t="str">
        <f t="shared" si="1"/>
        <v>ENQ.API.ED0005.1.0.0</v>
      </c>
      <c r="G36" s="3" t="s">
        <v>21</v>
      </c>
      <c r="H36" s="3" t="s">
        <v>286</v>
      </c>
      <c r="I36" s="3"/>
      <c r="J36" s="3"/>
      <c r="K36" s="8">
        <v>20220930</v>
      </c>
      <c r="L36" s="24" t="s">
        <v>358</v>
      </c>
      <c r="M36" s="11" t="s">
        <v>200</v>
      </c>
    </row>
    <row r="37" spans="2:13" x14ac:dyDescent="0.25">
      <c r="B37" s="4">
        <v>35</v>
      </c>
      <c r="C37" s="5" t="s">
        <v>8</v>
      </c>
      <c r="D37" s="2" t="str">
        <f t="shared" si="0"/>
        <v>/api/v1.0.0/party/ED0006</v>
      </c>
      <c r="E37" s="2"/>
      <c r="F37" s="2" t="str">
        <f t="shared" si="1"/>
        <v>ENQ.API.ED0006.1.0.0</v>
      </c>
      <c r="G37" s="2" t="s">
        <v>22</v>
      </c>
      <c r="H37" s="2" t="s">
        <v>213</v>
      </c>
      <c r="I37" s="2"/>
      <c r="J37" s="2"/>
      <c r="K37" s="6">
        <v>20220930</v>
      </c>
      <c r="L37" s="23" t="s">
        <v>358</v>
      </c>
      <c r="M37" s="10" t="s">
        <v>281</v>
      </c>
    </row>
    <row r="38" spans="2:13" x14ac:dyDescent="0.25">
      <c r="B38" s="4">
        <v>36</v>
      </c>
      <c r="C38" s="7" t="s">
        <v>9</v>
      </c>
      <c r="D38" s="3" t="str">
        <f t="shared" si="0"/>
        <v>/api/v1.0.0/party/ED0007</v>
      </c>
      <c r="E38" s="3"/>
      <c r="F38" s="3" t="str">
        <f t="shared" si="1"/>
        <v>ENQ.API.ED0007.1.0.0</v>
      </c>
      <c r="G38" s="3" t="s">
        <v>23</v>
      </c>
      <c r="H38" s="3" t="s">
        <v>134</v>
      </c>
      <c r="I38" s="3"/>
      <c r="J38" s="3"/>
      <c r="K38" s="8">
        <v>20221007</v>
      </c>
      <c r="L38" s="24" t="s">
        <v>358</v>
      </c>
      <c r="M38" s="11" t="s">
        <v>280</v>
      </c>
    </row>
    <row r="39" spans="2:13" x14ac:dyDescent="0.25">
      <c r="B39" s="4">
        <v>37</v>
      </c>
      <c r="C39" s="5" t="s">
        <v>10</v>
      </c>
      <c r="D39" s="2" t="str">
        <f t="shared" si="0"/>
        <v>/api/v1.0.0/party/ED0008</v>
      </c>
      <c r="E39" s="2"/>
      <c r="F39" s="2" t="str">
        <f t="shared" si="1"/>
        <v>ENQ.API.ED0008.1.0.0</v>
      </c>
      <c r="G39" s="2" t="s">
        <v>24</v>
      </c>
      <c r="H39" s="2" t="s">
        <v>287</v>
      </c>
      <c r="I39" s="2"/>
      <c r="J39" s="2"/>
      <c r="K39" s="6">
        <v>20220926</v>
      </c>
      <c r="L39" s="23" t="s">
        <v>358</v>
      </c>
      <c r="M39" s="10" t="s">
        <v>214</v>
      </c>
    </row>
    <row r="40" spans="2:13" x14ac:dyDescent="0.25">
      <c r="B40" s="4">
        <v>38</v>
      </c>
      <c r="C40" s="37" t="s">
        <v>11</v>
      </c>
      <c r="D40" s="38" t="str">
        <f t="shared" si="0"/>
        <v>/api/v1.0.0/party/ED0009</v>
      </c>
      <c r="E40" s="38"/>
      <c r="F40" s="38" t="str">
        <f t="shared" si="1"/>
        <v>ENQ.API.ED0009.1.0.0</v>
      </c>
      <c r="G40" s="38" t="s">
        <v>25</v>
      </c>
      <c r="H40" s="38" t="s">
        <v>288</v>
      </c>
      <c r="I40" s="38"/>
      <c r="J40" s="38"/>
      <c r="K40" s="39">
        <v>20220916</v>
      </c>
      <c r="L40" s="40" t="s">
        <v>353</v>
      </c>
      <c r="M40" s="41" t="s">
        <v>215</v>
      </c>
    </row>
    <row r="41" spans="2:13" x14ac:dyDescent="0.25">
      <c r="B41" s="4">
        <v>39</v>
      </c>
      <c r="C41" s="5" t="s">
        <v>12</v>
      </c>
      <c r="D41" s="2" t="str">
        <f t="shared" si="0"/>
        <v>/api/v1.0.0/party/ED0010</v>
      </c>
      <c r="E41" s="2"/>
      <c r="F41" s="2" t="str">
        <f t="shared" si="1"/>
        <v>ENQ.API.ED0010.1.0.0</v>
      </c>
      <c r="G41" s="2" t="s">
        <v>26</v>
      </c>
      <c r="H41" s="2" t="s">
        <v>289</v>
      </c>
      <c r="I41" s="2"/>
      <c r="J41" s="2"/>
      <c r="K41" s="6">
        <v>20220930</v>
      </c>
      <c r="L41" s="23" t="s">
        <v>358</v>
      </c>
      <c r="M41" s="10" t="s">
        <v>216</v>
      </c>
    </row>
    <row r="42" spans="2:13" x14ac:dyDescent="0.25">
      <c r="B42" s="4">
        <v>40</v>
      </c>
      <c r="C42" s="37" t="s">
        <v>13</v>
      </c>
      <c r="D42" s="38" t="str">
        <f t="shared" si="0"/>
        <v>/api/v1.0.0/party/ED0011</v>
      </c>
      <c r="E42" s="38"/>
      <c r="F42" s="38" t="str">
        <f t="shared" si="1"/>
        <v>ENQ.API.ED0011.1.0.0</v>
      </c>
      <c r="G42" s="38" t="s">
        <v>27</v>
      </c>
      <c r="H42" s="38" t="s">
        <v>290</v>
      </c>
      <c r="I42" s="38"/>
      <c r="J42" s="38"/>
      <c r="K42" s="39">
        <v>20221007</v>
      </c>
      <c r="L42" s="40" t="s">
        <v>353</v>
      </c>
      <c r="M42" s="41" t="s">
        <v>217</v>
      </c>
    </row>
    <row r="43" spans="2:13" x14ac:dyDescent="0.25">
      <c r="B43" s="4">
        <v>41</v>
      </c>
      <c r="C43" s="5" t="s">
        <v>374</v>
      </c>
      <c r="D43" s="2" t="str">
        <f t="shared" si="0"/>
        <v>/api/v1.0.0/party/ED0012</v>
      </c>
      <c r="E43" s="2"/>
      <c r="F43" s="2" t="str">
        <f t="shared" si="1"/>
        <v>ENQ.API.ED0012.1.0.0</v>
      </c>
      <c r="G43" s="2" t="s">
        <v>28</v>
      </c>
      <c r="H43" s="2" t="s">
        <v>291</v>
      </c>
      <c r="I43" s="2"/>
      <c r="J43" s="2"/>
      <c r="K43" s="6">
        <v>20230201</v>
      </c>
      <c r="L43" s="23" t="s">
        <v>353</v>
      </c>
      <c r="M43" s="10" t="s">
        <v>218</v>
      </c>
    </row>
    <row r="44" spans="2:13" x14ac:dyDescent="0.25">
      <c r="B44" s="4">
        <v>42</v>
      </c>
      <c r="C44" s="37" t="s">
        <v>14</v>
      </c>
      <c r="D44" s="38" t="str">
        <f t="shared" si="0"/>
        <v>/api/v1.0.0/party/ED0013</v>
      </c>
      <c r="E44" s="38"/>
      <c r="F44" s="38" t="str">
        <f t="shared" si="1"/>
        <v>ENQ.API.ED0013.1.0.0</v>
      </c>
      <c r="G44" s="38" t="s">
        <v>29</v>
      </c>
      <c r="H44" s="38" t="s">
        <v>292</v>
      </c>
      <c r="I44" s="38"/>
      <c r="J44" s="38"/>
      <c r="K44" s="39">
        <v>20220926</v>
      </c>
      <c r="L44" s="40" t="s">
        <v>353</v>
      </c>
      <c r="M44" s="41" t="s">
        <v>219</v>
      </c>
    </row>
    <row r="45" spans="2:13" x14ac:dyDescent="0.25">
      <c r="B45" s="4">
        <v>43</v>
      </c>
      <c r="C45" s="5" t="s">
        <v>15</v>
      </c>
      <c r="D45" s="2" t="str">
        <f t="shared" si="0"/>
        <v>/api/v1.0.0/party/ED0014</v>
      </c>
      <c r="E45" s="2"/>
      <c r="F45" s="2" t="str">
        <f t="shared" si="1"/>
        <v>ENQ.API.ED0014.1.0.0</v>
      </c>
      <c r="G45" s="2" t="s">
        <v>30</v>
      </c>
      <c r="H45" s="2" t="s">
        <v>293</v>
      </c>
      <c r="I45" s="2"/>
      <c r="J45" s="2"/>
      <c r="K45" s="6">
        <v>20220926</v>
      </c>
      <c r="L45" s="23" t="s">
        <v>358</v>
      </c>
      <c r="M45" s="10" t="s">
        <v>220</v>
      </c>
    </row>
    <row r="46" spans="2:13" x14ac:dyDescent="0.25">
      <c r="B46" s="4">
        <v>44</v>
      </c>
      <c r="C46" s="37" t="s">
        <v>16</v>
      </c>
      <c r="D46" s="38" t="str">
        <f t="shared" si="0"/>
        <v>/api/v1.0.0/party/ED0015</v>
      </c>
      <c r="E46" s="38"/>
      <c r="F46" s="38" t="str">
        <f t="shared" si="1"/>
        <v>ENQ.API.ED0015.1.0.0</v>
      </c>
      <c r="G46" s="38" t="s">
        <v>31</v>
      </c>
      <c r="H46" s="38" t="s">
        <v>294</v>
      </c>
      <c r="I46" s="38"/>
      <c r="J46" s="38"/>
      <c r="K46" s="39">
        <v>20220930</v>
      </c>
      <c r="L46" s="40" t="s">
        <v>353</v>
      </c>
      <c r="M46" s="41" t="s">
        <v>221</v>
      </c>
    </row>
    <row r="47" spans="2:13" x14ac:dyDescent="0.25">
      <c r="B47" s="4">
        <v>45</v>
      </c>
      <c r="C47" s="5" t="s">
        <v>352</v>
      </c>
      <c r="D47" s="2" t="s">
        <v>340</v>
      </c>
      <c r="E47" s="2"/>
      <c r="F47" s="2" t="s">
        <v>341</v>
      </c>
      <c r="G47" s="2"/>
      <c r="H47" s="2" t="s">
        <v>342</v>
      </c>
      <c r="I47" s="2"/>
      <c r="J47" s="2"/>
      <c r="K47" s="6">
        <v>20230215</v>
      </c>
      <c r="L47" s="23" t="s">
        <v>353</v>
      </c>
      <c r="M47" s="10" t="s">
        <v>315</v>
      </c>
    </row>
    <row r="48" spans="2:13" x14ac:dyDescent="0.25">
      <c r="B48" s="42">
        <v>46</v>
      </c>
      <c r="C48" s="14" t="s">
        <v>313</v>
      </c>
      <c r="D48" s="21" t="s">
        <v>343</v>
      </c>
      <c r="E48" s="21"/>
      <c r="F48" s="21" t="s">
        <v>344</v>
      </c>
      <c r="G48" s="21"/>
      <c r="H48" s="21" t="s">
        <v>345</v>
      </c>
      <c r="I48" s="21"/>
      <c r="J48" s="21"/>
      <c r="K48" s="15">
        <v>20230711</v>
      </c>
      <c r="L48" s="25" t="s">
        <v>353</v>
      </c>
      <c r="M48" s="22" t="s">
        <v>316</v>
      </c>
    </row>
    <row r="49" spans="2:13" x14ac:dyDescent="0.25">
      <c r="B49" s="4">
        <v>47</v>
      </c>
      <c r="C49" s="5" t="s">
        <v>32</v>
      </c>
      <c r="D49" s="2" t="str">
        <f t="shared" ref="D49:D65" si="2">"/api/v1.0.0/party/"&amp;C49</f>
        <v>/api/v1.0.0/party/EL0001</v>
      </c>
      <c r="E49" s="2"/>
      <c r="F49" s="2" t="str">
        <f t="shared" ref="F49:F63" si="3">"ENQ.API."&amp;C49&amp;".1.0.0"</f>
        <v>ENQ.API.EL0001.1.0.0</v>
      </c>
      <c r="G49" s="2" t="s">
        <v>38</v>
      </c>
      <c r="H49" s="2" t="s">
        <v>201</v>
      </c>
      <c r="I49" s="2"/>
      <c r="J49" s="2"/>
      <c r="K49" s="6">
        <v>20220926</v>
      </c>
      <c r="L49" s="23" t="s">
        <v>358</v>
      </c>
      <c r="M49" s="10" t="s">
        <v>222</v>
      </c>
    </row>
    <row r="50" spans="2:13" x14ac:dyDescent="0.25">
      <c r="B50" s="4">
        <v>48</v>
      </c>
      <c r="C50" s="37" t="s">
        <v>33</v>
      </c>
      <c r="D50" s="38" t="str">
        <f t="shared" si="2"/>
        <v>/api/v1.0.0/party/EL0002</v>
      </c>
      <c r="E50" s="38"/>
      <c r="F50" s="38" t="str">
        <f t="shared" si="3"/>
        <v>ENQ.API.EL0002.1.0.0</v>
      </c>
      <c r="G50" s="38" t="s">
        <v>39</v>
      </c>
      <c r="H50" s="38" t="s">
        <v>295</v>
      </c>
      <c r="I50" s="38"/>
      <c r="J50" s="38"/>
      <c r="K50" s="39">
        <v>20220930</v>
      </c>
      <c r="L50" s="40" t="s">
        <v>353</v>
      </c>
      <c r="M50" s="41" t="s">
        <v>223</v>
      </c>
    </row>
    <row r="51" spans="2:13" x14ac:dyDescent="0.25">
      <c r="B51" s="4">
        <v>49</v>
      </c>
      <c r="C51" s="5" t="s">
        <v>34</v>
      </c>
      <c r="D51" s="2" t="str">
        <f t="shared" si="2"/>
        <v>/api/v1.0.0/party/EL0003</v>
      </c>
      <c r="E51" s="2"/>
      <c r="F51" s="2" t="str">
        <f t="shared" si="3"/>
        <v>ENQ.API.EL0003.1.0.0</v>
      </c>
      <c r="G51" s="2" t="s">
        <v>40</v>
      </c>
      <c r="H51" s="2" t="s">
        <v>202</v>
      </c>
      <c r="I51" s="2"/>
      <c r="J51" s="2"/>
      <c r="K51" s="6">
        <v>20220926</v>
      </c>
      <c r="L51" s="23" t="s">
        <v>358</v>
      </c>
      <c r="M51" s="10" t="s">
        <v>224</v>
      </c>
    </row>
    <row r="52" spans="2:13" x14ac:dyDescent="0.25">
      <c r="B52" s="4">
        <v>50</v>
      </c>
      <c r="C52" s="37" t="s">
        <v>35</v>
      </c>
      <c r="D52" s="38" t="str">
        <f t="shared" si="2"/>
        <v>/api/v1.0.0/party/EL0004</v>
      </c>
      <c r="E52" s="38"/>
      <c r="F52" s="38" t="str">
        <f t="shared" si="3"/>
        <v>ENQ.API.EL0004.1.0.0</v>
      </c>
      <c r="G52" s="38" t="s">
        <v>41</v>
      </c>
      <c r="H52" s="38" t="s">
        <v>296</v>
      </c>
      <c r="I52" s="38"/>
      <c r="J52" s="38"/>
      <c r="K52" s="39">
        <v>20220916</v>
      </c>
      <c r="L52" s="40" t="s">
        <v>353</v>
      </c>
      <c r="M52" s="41" t="s">
        <v>225</v>
      </c>
    </row>
    <row r="53" spans="2:13" x14ac:dyDescent="0.25">
      <c r="B53" s="4">
        <v>51</v>
      </c>
      <c r="C53" s="5" t="s">
        <v>375</v>
      </c>
      <c r="D53" s="2" t="str">
        <f t="shared" si="2"/>
        <v>/api/v1.0.0/party/EL0005</v>
      </c>
      <c r="E53" s="2" t="s">
        <v>314</v>
      </c>
      <c r="F53" s="2" t="str">
        <f t="shared" si="3"/>
        <v>ENQ.API.EL0005.1.0.0</v>
      </c>
      <c r="G53" s="2" t="s">
        <v>42</v>
      </c>
      <c r="H53" s="2" t="s">
        <v>307</v>
      </c>
      <c r="I53" s="2"/>
      <c r="J53" s="2"/>
      <c r="K53" s="6">
        <v>20221202</v>
      </c>
      <c r="L53" s="23" t="s">
        <v>353</v>
      </c>
      <c r="M53" s="10" t="s">
        <v>226</v>
      </c>
    </row>
    <row r="54" spans="2:13" x14ac:dyDescent="0.25">
      <c r="B54" s="4">
        <v>52</v>
      </c>
      <c r="C54" s="37" t="s">
        <v>36</v>
      </c>
      <c r="D54" s="38" t="str">
        <f t="shared" si="2"/>
        <v>/api/v1.0.0/party/EL0006</v>
      </c>
      <c r="E54" s="38"/>
      <c r="F54" s="38" t="str">
        <f t="shared" si="3"/>
        <v>ENQ.API.EL0006.1.0.0</v>
      </c>
      <c r="G54" s="38" t="s">
        <v>43</v>
      </c>
      <c r="H54" s="38" t="s">
        <v>203</v>
      </c>
      <c r="I54" s="38"/>
      <c r="J54" s="38"/>
      <c r="K54" s="39">
        <v>20221007</v>
      </c>
      <c r="L54" s="40" t="s">
        <v>353</v>
      </c>
      <c r="M54" s="41" t="s">
        <v>227</v>
      </c>
    </row>
    <row r="55" spans="2:13" ht="16.5" x14ac:dyDescent="0.3">
      <c r="B55" s="4">
        <v>53</v>
      </c>
      <c r="C55" s="5" t="s">
        <v>37</v>
      </c>
      <c r="D55" s="2" t="str">
        <f t="shared" si="2"/>
        <v>/api/v1.0.0/party/EL0007</v>
      </c>
      <c r="E55" s="2"/>
      <c r="F55" s="2" t="str">
        <f t="shared" si="3"/>
        <v>ENQ.API.EL0007.1.0.0</v>
      </c>
      <c r="G55" s="2" t="s">
        <v>44</v>
      </c>
      <c r="H55" s="13" t="s">
        <v>204</v>
      </c>
      <c r="I55" s="2"/>
      <c r="J55" s="2"/>
      <c r="K55" s="6">
        <v>20221007</v>
      </c>
      <c r="L55" s="23" t="s">
        <v>358</v>
      </c>
      <c r="M55" s="10" t="s">
        <v>228</v>
      </c>
    </row>
    <row r="56" spans="2:13" x14ac:dyDescent="0.25">
      <c r="B56" s="4">
        <v>54</v>
      </c>
      <c r="C56" s="37" t="s">
        <v>252</v>
      </c>
      <c r="D56" s="38" t="str">
        <f t="shared" si="2"/>
        <v>/api/v1.0.0/party/EL0008</v>
      </c>
      <c r="E56" s="38"/>
      <c r="F56" s="38" t="str">
        <f t="shared" si="3"/>
        <v>ENQ.API.EL0008.1.0.0</v>
      </c>
      <c r="G56" s="38" t="s">
        <v>262</v>
      </c>
      <c r="H56" s="38" t="s">
        <v>253</v>
      </c>
      <c r="I56" s="38"/>
      <c r="J56" s="38"/>
      <c r="K56" s="39">
        <v>20221014</v>
      </c>
      <c r="L56" s="40" t="s">
        <v>353</v>
      </c>
      <c r="M56" s="41" t="s">
        <v>270</v>
      </c>
    </row>
    <row r="57" spans="2:13" x14ac:dyDescent="0.25">
      <c r="B57" s="4">
        <v>55</v>
      </c>
      <c r="C57" s="7" t="s">
        <v>254</v>
      </c>
      <c r="D57" s="3" t="str">
        <f t="shared" si="2"/>
        <v>/api/v1.0.0/party/EL0009</v>
      </c>
      <c r="E57" s="3"/>
      <c r="F57" s="3" t="str">
        <f t="shared" si="3"/>
        <v>ENQ.API.EL0009.1.0.0</v>
      </c>
      <c r="G57" s="3" t="s">
        <v>255</v>
      </c>
      <c r="H57" s="3" t="s">
        <v>256</v>
      </c>
      <c r="I57" s="27"/>
      <c r="J57" s="27"/>
      <c r="K57" s="11">
        <v>20221014</v>
      </c>
      <c r="L57" s="4" t="s">
        <v>358</v>
      </c>
      <c r="M57" s="9" t="s">
        <v>271</v>
      </c>
    </row>
    <row r="58" spans="2:13" x14ac:dyDescent="0.25">
      <c r="B58" s="4">
        <v>56</v>
      </c>
      <c r="C58" s="37" t="s">
        <v>257</v>
      </c>
      <c r="D58" s="38" t="str">
        <f t="shared" si="2"/>
        <v>/api/v1.0.0/party/EL0010</v>
      </c>
      <c r="E58" s="38"/>
      <c r="F58" s="38" t="str">
        <f t="shared" si="3"/>
        <v>ENQ.API.EL0010.1.0.0</v>
      </c>
      <c r="G58" s="38" t="s">
        <v>258</v>
      </c>
      <c r="H58" s="38" t="s">
        <v>297</v>
      </c>
      <c r="I58" s="38"/>
      <c r="J58" s="38"/>
      <c r="K58" s="39">
        <v>20221014</v>
      </c>
      <c r="L58" s="40" t="s">
        <v>353</v>
      </c>
      <c r="M58" s="41" t="s">
        <v>272</v>
      </c>
    </row>
    <row r="59" spans="2:13" x14ac:dyDescent="0.25">
      <c r="B59" s="4">
        <v>57</v>
      </c>
      <c r="C59" s="5" t="s">
        <v>45</v>
      </c>
      <c r="D59" s="2" t="str">
        <f t="shared" si="2"/>
        <v>/api/v1.0.0/party/EF0001</v>
      </c>
      <c r="E59" s="3"/>
      <c r="F59" s="2" t="str">
        <f t="shared" si="3"/>
        <v>ENQ.API.EF0001.1.0.0</v>
      </c>
      <c r="G59" s="2" t="s">
        <v>50</v>
      </c>
      <c r="H59" s="12" t="s">
        <v>205</v>
      </c>
      <c r="I59" s="2"/>
      <c r="J59" s="2"/>
      <c r="K59" s="6">
        <v>20220926</v>
      </c>
      <c r="L59" s="23" t="s">
        <v>358</v>
      </c>
      <c r="M59" s="10" t="s">
        <v>231</v>
      </c>
    </row>
    <row r="60" spans="2:13" x14ac:dyDescent="0.25">
      <c r="B60" s="4">
        <v>58</v>
      </c>
      <c r="C60" s="37" t="s">
        <v>46</v>
      </c>
      <c r="D60" s="38" t="str">
        <f t="shared" si="2"/>
        <v>/api/v1.0.0/party/EF0002</v>
      </c>
      <c r="E60" s="38"/>
      <c r="F60" s="38" t="str">
        <f t="shared" si="3"/>
        <v>ENQ.API.EF0002.1.0.0</v>
      </c>
      <c r="G60" s="38" t="s">
        <v>51</v>
      </c>
      <c r="H60" s="38" t="s">
        <v>206</v>
      </c>
      <c r="I60" s="38"/>
      <c r="J60" s="38"/>
      <c r="K60" s="39">
        <v>20220930</v>
      </c>
      <c r="L60" s="40" t="s">
        <v>353</v>
      </c>
      <c r="M60" s="41" t="s">
        <v>232</v>
      </c>
    </row>
    <row r="61" spans="2:13" x14ac:dyDescent="0.25">
      <c r="B61" s="4">
        <v>59</v>
      </c>
      <c r="C61" s="5" t="s">
        <v>47</v>
      </c>
      <c r="D61" s="2" t="str">
        <f t="shared" si="2"/>
        <v>/api/v1.0.0/party/EF0003</v>
      </c>
      <c r="E61" s="3"/>
      <c r="F61" s="2" t="str">
        <f t="shared" si="3"/>
        <v>ENQ.API.EF0003.1.0.0</v>
      </c>
      <c r="G61" s="2" t="s">
        <v>52</v>
      </c>
      <c r="H61" s="12" t="s">
        <v>207</v>
      </c>
      <c r="I61" s="2"/>
      <c r="J61" s="2"/>
      <c r="K61" s="6">
        <v>20221007</v>
      </c>
      <c r="L61" s="23" t="s">
        <v>358</v>
      </c>
      <c r="M61" s="10" t="s">
        <v>233</v>
      </c>
    </row>
    <row r="62" spans="2:13" x14ac:dyDescent="0.25">
      <c r="B62" s="4">
        <v>60</v>
      </c>
      <c r="C62" s="37" t="s">
        <v>48</v>
      </c>
      <c r="D62" s="38" t="str">
        <f t="shared" si="2"/>
        <v>/api/v1.0.0/party/EF0004</v>
      </c>
      <c r="E62" s="38"/>
      <c r="F62" s="38" t="str">
        <f t="shared" si="3"/>
        <v>ENQ.API.EF0004.1.0.0</v>
      </c>
      <c r="G62" s="38" t="s">
        <v>53</v>
      </c>
      <c r="H62" s="38" t="s">
        <v>208</v>
      </c>
      <c r="I62" s="38"/>
      <c r="J62" s="38"/>
      <c r="K62" s="39">
        <v>20221007</v>
      </c>
      <c r="L62" s="40" t="s">
        <v>353</v>
      </c>
      <c r="M62" s="41" t="s">
        <v>234</v>
      </c>
    </row>
    <row r="63" spans="2:13" x14ac:dyDescent="0.25">
      <c r="B63" s="4">
        <v>61</v>
      </c>
      <c r="C63" s="5" t="s">
        <v>49</v>
      </c>
      <c r="D63" s="2" t="str">
        <f t="shared" si="2"/>
        <v>/api/v1.0.0/party/EF0005</v>
      </c>
      <c r="E63" s="3"/>
      <c r="F63" s="2" t="str">
        <f t="shared" si="3"/>
        <v>ENQ.API.EF0005.1.0.0</v>
      </c>
      <c r="G63" s="2" t="s">
        <v>54</v>
      </c>
      <c r="H63" s="12" t="s">
        <v>209</v>
      </c>
      <c r="I63" s="2"/>
      <c r="J63" s="2"/>
      <c r="K63" s="6">
        <v>20221007</v>
      </c>
      <c r="L63" s="23" t="s">
        <v>358</v>
      </c>
      <c r="M63" s="10" t="s">
        <v>235</v>
      </c>
    </row>
    <row r="64" spans="2:13" x14ac:dyDescent="0.25">
      <c r="B64" s="4">
        <v>62</v>
      </c>
      <c r="C64" s="37" t="s">
        <v>249</v>
      </c>
      <c r="D64" s="38" t="str">
        <f t="shared" si="2"/>
        <v>/api/v1.0.0/party/EF0006</v>
      </c>
      <c r="E64" s="38" t="s">
        <v>119</v>
      </c>
      <c r="F64" s="38" t="str">
        <f>E64&amp;",EB.API."&amp;C64&amp;".1.0.0"</f>
        <v>TMB.OF.CS.COMM.AMT,EB.API.EF0006.1.0.0</v>
      </c>
      <c r="G64" s="38" t="s">
        <v>263</v>
      </c>
      <c r="H64" s="38" t="s">
        <v>264</v>
      </c>
      <c r="I64" s="38"/>
      <c r="J64" s="38"/>
      <c r="K64" s="39">
        <v>20221007</v>
      </c>
      <c r="L64" s="40" t="s">
        <v>353</v>
      </c>
      <c r="M64" s="41" t="s">
        <v>193</v>
      </c>
    </row>
    <row r="65" spans="2:13" x14ac:dyDescent="0.25">
      <c r="B65" s="4">
        <v>63</v>
      </c>
      <c r="C65" s="5" t="s">
        <v>250</v>
      </c>
      <c r="D65" s="2" t="str">
        <f t="shared" si="2"/>
        <v>/api/v1.0.0/party/EF0007</v>
      </c>
      <c r="E65" s="2" t="s">
        <v>120</v>
      </c>
      <c r="F65" s="2" t="str">
        <f>E65&amp;",EB.API."&amp;C65&amp;".1.0.0"</f>
        <v>TMB.OF.CS.ORDER.BRANCH,EB.API.EF0007.1.0.0</v>
      </c>
      <c r="G65" s="2" t="s">
        <v>265</v>
      </c>
      <c r="H65" s="2" t="s">
        <v>251</v>
      </c>
      <c r="I65" s="27"/>
      <c r="J65" s="27"/>
      <c r="K65" s="11">
        <v>20221007</v>
      </c>
      <c r="L65" s="4" t="s">
        <v>363</v>
      </c>
      <c r="M65" s="9" t="s">
        <v>229</v>
      </c>
    </row>
    <row r="66" spans="2:13" x14ac:dyDescent="0.25">
      <c r="B66" s="4">
        <v>64</v>
      </c>
      <c r="C66" s="7" t="s">
        <v>326</v>
      </c>
      <c r="D66" s="3" t="s">
        <v>346</v>
      </c>
      <c r="E66" s="3"/>
      <c r="F66" s="3" t="s">
        <v>347</v>
      </c>
      <c r="G66" s="3" t="s">
        <v>348</v>
      </c>
      <c r="H66" s="3" t="s">
        <v>378</v>
      </c>
      <c r="I66" s="3"/>
      <c r="J66" s="3"/>
      <c r="K66" s="11">
        <v>20230215</v>
      </c>
      <c r="L66" s="4" t="s">
        <v>353</v>
      </c>
      <c r="M66" s="11" t="s">
        <v>328</v>
      </c>
    </row>
    <row r="67" spans="2:13" x14ac:dyDescent="0.25">
      <c r="B67" s="4">
        <v>65</v>
      </c>
      <c r="C67" s="5" t="s">
        <v>376</v>
      </c>
      <c r="D67" s="2" t="str">
        <f t="shared" ref="D67:D75" si="4">"/api/v1.0.0/party/"&amp;C67</f>
        <v>/api/v1.0.0/party/EC0001</v>
      </c>
      <c r="E67" s="2"/>
      <c r="F67" s="2" t="str">
        <f t="shared" ref="F67:F75" si="5">"ENQ.API."&amp;C67&amp;".1.0.0"</f>
        <v>ENQ.API.EC0001.1.0.0</v>
      </c>
      <c r="G67" s="2" t="s">
        <v>62</v>
      </c>
      <c r="H67" s="2" t="s">
        <v>298</v>
      </c>
      <c r="I67" s="2"/>
      <c r="J67" s="2"/>
      <c r="K67" s="6">
        <v>20230410</v>
      </c>
      <c r="L67" s="23" t="s">
        <v>353</v>
      </c>
      <c r="M67" s="10" t="s">
        <v>236</v>
      </c>
    </row>
    <row r="68" spans="2:13" x14ac:dyDescent="0.25">
      <c r="B68" s="4">
        <v>66</v>
      </c>
      <c r="C68" s="37" t="s">
        <v>55</v>
      </c>
      <c r="D68" s="38" t="str">
        <f t="shared" si="4"/>
        <v>/api/v1.0.0/party/EC0002</v>
      </c>
      <c r="E68" s="38"/>
      <c r="F68" s="38" t="str">
        <f t="shared" si="5"/>
        <v>ENQ.API.EC0002.1.0.0</v>
      </c>
      <c r="G68" s="38" t="s">
        <v>63</v>
      </c>
      <c r="H68" s="38" t="s">
        <v>299</v>
      </c>
      <c r="I68" s="38"/>
      <c r="J68" s="38"/>
      <c r="K68" s="39">
        <v>20220930</v>
      </c>
      <c r="L68" s="40" t="s">
        <v>353</v>
      </c>
      <c r="M68" s="41" t="s">
        <v>276</v>
      </c>
    </row>
    <row r="69" spans="2:13" x14ac:dyDescent="0.25">
      <c r="B69" s="4">
        <v>67</v>
      </c>
      <c r="C69" s="5" t="s">
        <v>56</v>
      </c>
      <c r="D69" s="2" t="str">
        <f t="shared" si="4"/>
        <v>/api/v1.0.0/party/EC0003</v>
      </c>
      <c r="E69" s="2"/>
      <c r="F69" s="2" t="str">
        <f t="shared" si="5"/>
        <v>ENQ.API.EC0003.1.0.0</v>
      </c>
      <c r="G69" s="2" t="s">
        <v>64</v>
      </c>
      <c r="H69" s="2" t="s">
        <v>300</v>
      </c>
      <c r="I69" s="2"/>
      <c r="J69" s="2"/>
      <c r="K69" s="6">
        <v>20220930</v>
      </c>
      <c r="L69" s="23" t="s">
        <v>363</v>
      </c>
      <c r="M69" s="10" t="s">
        <v>279</v>
      </c>
    </row>
    <row r="70" spans="2:13" x14ac:dyDescent="0.25">
      <c r="B70" s="4">
        <v>68</v>
      </c>
      <c r="C70" s="37" t="s">
        <v>57</v>
      </c>
      <c r="D70" s="38" t="str">
        <f t="shared" si="4"/>
        <v>/api/v1.0.0/party/EC0004</v>
      </c>
      <c r="E70" s="38"/>
      <c r="F70" s="38" t="str">
        <f t="shared" si="5"/>
        <v>ENQ.API.EC0004.1.0.0</v>
      </c>
      <c r="G70" s="38" t="s">
        <v>65</v>
      </c>
      <c r="H70" s="38" t="s">
        <v>301</v>
      </c>
      <c r="I70" s="38"/>
      <c r="J70" s="38"/>
      <c r="K70" s="39">
        <v>20220930</v>
      </c>
      <c r="L70" s="40" t="s">
        <v>353</v>
      </c>
      <c r="M70" s="41" t="s">
        <v>237</v>
      </c>
    </row>
    <row r="71" spans="2:13" x14ac:dyDescent="0.25">
      <c r="B71" s="4">
        <v>69</v>
      </c>
      <c r="C71" s="5" t="s">
        <v>58</v>
      </c>
      <c r="D71" s="2" t="str">
        <f t="shared" si="4"/>
        <v>/api/v1.0.0/party/EC0005</v>
      </c>
      <c r="E71" s="2"/>
      <c r="F71" s="2" t="str">
        <f t="shared" si="5"/>
        <v>ENQ.API.EC0005.1.0.0</v>
      </c>
      <c r="G71" s="2" t="s">
        <v>66</v>
      </c>
      <c r="H71" s="2" t="s">
        <v>302</v>
      </c>
      <c r="I71" s="2"/>
      <c r="J71" s="2"/>
      <c r="K71" s="6">
        <v>20221007</v>
      </c>
      <c r="L71" s="23" t="s">
        <v>363</v>
      </c>
      <c r="M71" s="10" t="s">
        <v>238</v>
      </c>
    </row>
    <row r="72" spans="2:13" x14ac:dyDescent="0.25">
      <c r="B72" s="4">
        <v>70</v>
      </c>
      <c r="C72" s="37" t="s">
        <v>59</v>
      </c>
      <c r="D72" s="38" t="str">
        <f t="shared" si="4"/>
        <v>/api/v1.0.0/party/EC0006</v>
      </c>
      <c r="E72" s="38"/>
      <c r="F72" s="38" t="str">
        <f t="shared" si="5"/>
        <v>ENQ.API.EC0006.1.0.0</v>
      </c>
      <c r="G72" s="38" t="s">
        <v>67</v>
      </c>
      <c r="H72" s="38" t="s">
        <v>303</v>
      </c>
      <c r="I72" s="38"/>
      <c r="J72" s="38"/>
      <c r="K72" s="39">
        <v>20220930</v>
      </c>
      <c r="L72" s="40" t="s">
        <v>353</v>
      </c>
      <c r="M72" s="41" t="s">
        <v>239</v>
      </c>
    </row>
    <row r="73" spans="2:13" x14ac:dyDescent="0.25">
      <c r="B73" s="4">
        <v>71</v>
      </c>
      <c r="C73" s="5" t="s">
        <v>60</v>
      </c>
      <c r="D73" s="2" t="str">
        <f t="shared" si="4"/>
        <v>/api/v1.0.0/party/EC0007</v>
      </c>
      <c r="E73" s="2"/>
      <c r="F73" s="2" t="str">
        <f t="shared" si="5"/>
        <v>ENQ.API.EC0007.1.0.0</v>
      </c>
      <c r="G73" s="2" t="s">
        <v>68</v>
      </c>
      <c r="H73" s="2" t="s">
        <v>304</v>
      </c>
      <c r="I73" s="2"/>
      <c r="J73" s="2"/>
      <c r="K73" s="6">
        <v>20220916</v>
      </c>
      <c r="L73" s="23" t="s">
        <v>363</v>
      </c>
      <c r="M73" s="10" t="s">
        <v>240</v>
      </c>
    </row>
    <row r="74" spans="2:13" x14ac:dyDescent="0.25">
      <c r="B74" s="4">
        <v>72</v>
      </c>
      <c r="C74" s="37" t="s">
        <v>61</v>
      </c>
      <c r="D74" s="38" t="str">
        <f t="shared" si="4"/>
        <v>/api/v1.0.0/party/EC0008</v>
      </c>
      <c r="E74" s="38"/>
      <c r="F74" s="38" t="str">
        <f t="shared" si="5"/>
        <v>ENQ.API.EC0008.1.0.0</v>
      </c>
      <c r="G74" s="38" t="s">
        <v>69</v>
      </c>
      <c r="H74" s="38" t="s">
        <v>305</v>
      </c>
      <c r="I74" s="38"/>
      <c r="J74" s="38"/>
      <c r="K74" s="39">
        <v>20220930</v>
      </c>
      <c r="L74" s="40" t="s">
        <v>353</v>
      </c>
      <c r="M74" s="41" t="s">
        <v>282</v>
      </c>
    </row>
    <row r="75" spans="2:13" x14ac:dyDescent="0.25">
      <c r="B75" s="4">
        <v>73</v>
      </c>
      <c r="C75" s="7" t="s">
        <v>259</v>
      </c>
      <c r="D75" s="3" t="str">
        <f t="shared" si="4"/>
        <v>/api/v1.0.0/party/EC0009</v>
      </c>
      <c r="F75" s="3" t="str">
        <f t="shared" si="5"/>
        <v>ENQ.API.EC0009.1.0.0</v>
      </c>
      <c r="G75" s="3" t="s">
        <v>260</v>
      </c>
      <c r="H75" s="3" t="s">
        <v>306</v>
      </c>
      <c r="I75" s="27"/>
      <c r="J75" s="27"/>
      <c r="K75" s="11">
        <v>20221014</v>
      </c>
      <c r="L75" s="4" t="s">
        <v>363</v>
      </c>
      <c r="M75" s="9" t="s">
        <v>273</v>
      </c>
    </row>
    <row r="76" spans="2:13" x14ac:dyDescent="0.25">
      <c r="B76" s="4">
        <v>74</v>
      </c>
      <c r="C76" s="7" t="s">
        <v>327</v>
      </c>
      <c r="D76" s="3" t="s">
        <v>349</v>
      </c>
      <c r="E76" s="3"/>
      <c r="F76" s="3" t="s">
        <v>350</v>
      </c>
      <c r="G76" s="3" t="s">
        <v>351</v>
      </c>
      <c r="H76" s="3" t="s">
        <v>377</v>
      </c>
      <c r="I76" s="3"/>
      <c r="J76" s="3"/>
      <c r="K76" s="11">
        <v>20230215</v>
      </c>
      <c r="L76" s="4" t="s">
        <v>353</v>
      </c>
      <c r="M76" s="11" t="s">
        <v>329</v>
      </c>
    </row>
    <row r="77" spans="2:13" x14ac:dyDescent="0.25">
      <c r="B77" s="4">
        <v>75</v>
      </c>
      <c r="C77" s="7" t="s">
        <v>365</v>
      </c>
      <c r="D77" s="3" t="s">
        <v>367</v>
      </c>
      <c r="E77" s="3"/>
      <c r="F77" s="3" t="s">
        <v>368</v>
      </c>
      <c r="G77" s="3" t="s">
        <v>369</v>
      </c>
      <c r="H77" s="3" t="s">
        <v>366</v>
      </c>
      <c r="I77" s="3"/>
      <c r="J77" s="3"/>
      <c r="K77" s="11">
        <v>20230703</v>
      </c>
      <c r="L77" s="4" t="s">
        <v>353</v>
      </c>
      <c r="M77" s="11" t="s">
        <v>370</v>
      </c>
    </row>
    <row r="84" spans="6:16" x14ac:dyDescent="0.25">
      <c r="F84" s="7"/>
      <c r="G84" s="3"/>
      <c r="H84" s="3"/>
      <c r="I84" s="3"/>
      <c r="J84" s="3"/>
      <c r="K84" s="3"/>
      <c r="L84" s="26"/>
      <c r="M84" s="3"/>
      <c r="N84" s="3"/>
      <c r="O84" s="8"/>
      <c r="P84" s="11"/>
    </row>
  </sheetData>
  <phoneticPr fontId="1" type="noConversion"/>
  <dataValidations disablePrompts="1" count="1">
    <dataValidation allowBlank="1" showDropDown="1" showInputMessage="1" showErrorMessage="1" sqref="I3:I18" xr:uid="{C3B81D54-DD0F-47AD-B9ED-B31D0F37A6E4}"/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E82A6D7F91B2D6479FF0F5972D7BBB2B" ma:contentTypeVersion="1" ma:contentTypeDescription="建立新的文件。" ma:contentTypeScope="" ma:versionID="0cfffdfdc48332b65b6692c550261a19">
  <xsd:schema xmlns:xsd="http://www.w3.org/2001/XMLSchema" xmlns:xs="http://www.w3.org/2001/XMLSchema" xmlns:p="http://schemas.microsoft.com/office/2006/metadata/properties" xmlns:ns2="ab2e9cef-f5ae-4fca-a593-546d369e6708" targetNamespace="http://schemas.microsoft.com/office/2006/metadata/properties" ma:root="true" ma:fieldsID="8bbd22175c34604f7f08a386c6bc756b" ns2:_="">
    <xsd:import namespace="ab2e9cef-f5ae-4fca-a593-546d369e6708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2e9cef-f5ae-4fca-a593-546d369e670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C6BE74-6384-404C-A7D1-33A8EFD5C1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00193-C075-40ED-98C3-2778B506C02A}">
  <ds:schemaRefs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68C4AF7-6606-41FC-A818-43AFE2A972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Progress</vt:lpstr>
      <vt:lpstr>IRIS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2023-07-14T10:22:09Z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0x010100E82A6D7F91B2D6479FF0F5972D7BBB2B</vt:lpwstr>
  </property>
</Properties>
</file>